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lya\Documents\MyDocs\02_github\invest_toolkit\support_files\"/>
    </mc:Choice>
  </mc:AlternateContent>
  <xr:revisionPtr revIDLastSave="0" documentId="13_ncr:1_{D5DAB8D6-241A-4878-BD2B-A25130DAC9DF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categories" sheetId="1" r:id="rId1"/>
    <sheet name="stock" sheetId="2" r:id="rId2"/>
    <sheet name="bon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25" i="2" l="1" a="1"/>
  <c r="M25" i="2" s="1"/>
  <c r="M19" i="2" a="1"/>
  <c r="M19" i="2" s="1"/>
  <c r="M17" i="2" a="1"/>
  <c r="M17" i="2" s="1"/>
  <c r="M14" i="2" a="1"/>
  <c r="M14" i="2" s="1"/>
  <c r="M8" i="2" a="1"/>
  <c r="M8" i="2" s="1"/>
  <c r="M7" i="2" a="1"/>
  <c r="M7" i="2" s="1"/>
  <c r="M5" i="2" a="1"/>
  <c r="M5" i="2"/>
  <c r="M4" i="2" a="1"/>
  <c r="M4" i="2" s="1"/>
  <c r="M3" i="2" a="1"/>
  <c r="M3" i="2" s="1"/>
  <c r="M2" i="2" a="1"/>
  <c r="M2" i="2" s="1"/>
  <c r="J24" i="2"/>
  <c r="J25" i="2"/>
  <c r="C4" i="3" a="1"/>
  <c r="C4" i="3" s="1"/>
  <c r="B4" i="3" a="1"/>
  <c r="B4" i="3" s="1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B4" i="1" a="1"/>
  <c r="B4" i="1" s="1"/>
  <c r="M15" i="2" l="1" a="1"/>
  <c r="M15" i="2" s="1"/>
  <c r="M22" i="2" a="1"/>
  <c r="M22" i="2" s="1"/>
  <c r="M10" i="2" a="1"/>
  <c r="M10" i="2" s="1"/>
  <c r="M11" i="2" a="1"/>
  <c r="M11" i="2" s="1"/>
  <c r="M24" i="2" a="1"/>
  <c r="M24" i="2" s="1"/>
  <c r="M12" i="2" a="1"/>
  <c r="M12" i="2" s="1"/>
  <c r="M13" i="2" a="1"/>
  <c r="M13" i="2" s="1"/>
  <c r="M20" i="2" a="1"/>
  <c r="M20" i="2" s="1"/>
  <c r="M6" i="2" a="1"/>
  <c r="M6" i="2" s="1"/>
  <c r="M21" i="2" a="1"/>
  <c r="M21" i="2" s="1"/>
  <c r="M23" i="2" a="1"/>
  <c r="M23" i="2" s="1"/>
  <c r="M9" i="2" a="1"/>
  <c r="M9" i="2" s="1"/>
  <c r="M18" i="2" a="1"/>
  <c r="M18" i="2" s="1"/>
  <c r="M16" i="2" a="1"/>
  <c r="M16" i="2" s="1"/>
  <c r="K9" i="2"/>
  <c r="K25" i="2"/>
  <c r="K8" i="2"/>
  <c r="K22" i="2"/>
  <c r="K23" i="2"/>
  <c r="K16" i="2"/>
  <c r="K6" i="2"/>
  <c r="K3" i="2"/>
  <c r="K18" i="2"/>
  <c r="K15" i="2"/>
  <c r="K13" i="2"/>
  <c r="K19" i="2"/>
  <c r="K17" i="2"/>
  <c r="K21" i="2"/>
  <c r="K20" i="2"/>
  <c r="K24" i="2"/>
  <c r="K7" i="2"/>
  <c r="K5" i="2"/>
  <c r="K4" i="2"/>
  <c r="K14" i="2"/>
  <c r="K12" i="2"/>
  <c r="K11" i="2"/>
  <c r="K2" i="2"/>
  <c r="K10" i="2"/>
  <c r="M26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<sst xmlns="http://schemas.openxmlformats.org/spreadsheetml/2006/main" count="86" uniqueCount="69">
  <si>
    <t>category</t>
  </si>
  <si>
    <t>%</t>
  </si>
  <si>
    <t>stock</t>
  </si>
  <si>
    <t>bonds</t>
  </si>
  <si>
    <t>ticker</t>
  </si>
  <si>
    <t>name</t>
  </si>
  <si>
    <t>IR</t>
  </si>
  <si>
    <t>Рост прибыли</t>
  </si>
  <si>
    <t>Выплата дивидендов</t>
  </si>
  <si>
    <t>Рост дивидендов</t>
  </si>
  <si>
    <t>Рейтинг</t>
  </si>
  <si>
    <t>Капитализация, млрд. руб.</t>
  </si>
  <si>
    <t>Free-float</t>
  </si>
  <si>
    <t>Корень free-float</t>
  </si>
  <si>
    <t>%, Вес (free float x рейтинг)</t>
  </si>
  <si>
    <t>%, корректировка</t>
  </si>
  <si>
    <t>SBER</t>
  </si>
  <si>
    <t>Сбербанк (SBER)</t>
  </si>
  <si>
    <t>LKOH</t>
  </si>
  <si>
    <t>ЛУКОЙЛ (LKOH)</t>
  </si>
  <si>
    <t>NVTK</t>
  </si>
  <si>
    <t>НОВАТЭК (NVTK)</t>
  </si>
  <si>
    <t>MOEX</t>
  </si>
  <si>
    <t>Московская биржа (MOEX)</t>
  </si>
  <si>
    <t>T</t>
  </si>
  <si>
    <t>Т-Технологии (T)</t>
  </si>
  <si>
    <t>nan</t>
  </si>
  <si>
    <t>TATN</t>
  </si>
  <si>
    <t>Татнефть (TATN)</t>
  </si>
  <si>
    <t>ROSN</t>
  </si>
  <si>
    <t>Роснефть (ROSN)</t>
  </si>
  <si>
    <t>PHOR</t>
  </si>
  <si>
    <t>ФосАгро (PHOR)</t>
  </si>
  <si>
    <t>X5</t>
  </si>
  <si>
    <t>X5 (X5)</t>
  </si>
  <si>
    <t>IRAO</t>
  </si>
  <si>
    <t>ИнтерРАО (IRAO)</t>
  </si>
  <si>
    <t>YDEX</t>
  </si>
  <si>
    <t>Яндекс (YDEX)</t>
  </si>
  <si>
    <t>HEAD</t>
  </si>
  <si>
    <t>HeadHunter (HEAD)</t>
  </si>
  <si>
    <t>SIBN</t>
  </si>
  <si>
    <t>Газпромнефть (SIBN)</t>
  </si>
  <si>
    <t>NKNC</t>
  </si>
  <si>
    <t>НКНХ (NKNC)</t>
  </si>
  <si>
    <t>BSPB</t>
  </si>
  <si>
    <t>Банк Санкт-Петербург (BSPB)</t>
  </si>
  <si>
    <t>TRNFP</t>
  </si>
  <si>
    <t>Транснефть (TRNFP)</t>
  </si>
  <si>
    <t>LSNGP</t>
  </si>
  <si>
    <t>Россети Ленэнерго (LSNGP)</t>
  </si>
  <si>
    <t>MDMG</t>
  </si>
  <si>
    <t>Мать и Дитя (MDMG)</t>
  </si>
  <si>
    <t>PMSB</t>
  </si>
  <si>
    <t>Пермэнергосбыт (PMSB)</t>
  </si>
  <si>
    <t>NMTP</t>
  </si>
  <si>
    <t>НМТП (NMTP)</t>
  </si>
  <si>
    <t>WTCMP</t>
  </si>
  <si>
    <t>ЦМТ (WTCM)</t>
  </si>
  <si>
    <t>RENI</t>
  </si>
  <si>
    <t>Ренессанс Страхование (RENI)</t>
  </si>
  <si>
    <t>SBMM</t>
  </si>
  <si>
    <t>SBMM ETF</t>
  </si>
  <si>
    <t>LQDT</t>
  </si>
  <si>
    <t>LQDT ETF</t>
  </si>
  <si>
    <t>MTSS</t>
  </si>
  <si>
    <t>DOMRF</t>
  </si>
  <si>
    <t>ДОМ.РФ</t>
  </si>
  <si>
    <t>МТС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</si>
</sst>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name val="Calibri"/>
      <charset val="1"/>
    </font>
    <font>
      <b/>
      <sz val="11"/>
      <name val="Calibri"/>
      <charset val="1"/>
    </font>
    <font>
      <b/>
      <sz val="10"/>
      <name val="Calibri"/>
      <charset val="1"/>
    </font>
    <font>
      <b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A2FF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Font="1" applyAlignment="1" applyProtection="1"/>
    <xf numFmtId="49" fontId="1" fillId="2" borderId="1" xfId="0" applyNumberFormat="1" applyFont="1" applyFill="1" applyBorder="1" applyAlignment="1" applyProtection="1"/>
    <xf numFmtId="49" fontId="0" fillId="0" borderId="1" xfId="0" applyNumberFormat="1" applyFont="1" applyBorder="1" applyAlignment="1" applyProtection="1"/>
    <xf numFmtId="2" fontId="0" fillId="0" borderId="1" xfId="0" applyNumberFormat="1" applyFont="1" applyBorder="1" applyAlignment="1" applyProtection="1"/>
    <xf numFmtId="0" fontId="1" fillId="0" borderId="1" xfId="0" applyFont="1" applyBorder="1" applyAlignment="1" applyProtection="1"/>
    <xf numFmtId="2" fontId="1" fillId="0" borderId="1" xfId="0" applyNumberFormat="1" applyFont="1" applyBorder="1" applyAlignment="1" applyProtection="1"/>
    <xf numFmtId="2" fontId="0" fillId="0" borderId="0" xfId="0" applyNumberFormat="1" applyFont="1" applyAlignment="1" applyProtection="1"/>
    <xf numFmtId="0" fontId="2" fillId="0" borderId="0" xfId="0" applyFont="1" applyAlignment="1" applyProtection="1">
      <alignment horizontal="center" vertical="center" wrapText="1"/>
    </xf>
    <xf numFmtId="0" fontId="0" fillId="0" borderId="1" xfId="0" applyFont="1" applyBorder="1" applyAlignment="1" applyProtection="1"/>
    <xf numFmtId="0" fontId="0" fillId="0" borderId="1" xfId="0" applyFont="1" applyBorder="1" applyAlignment="1" applyProtection="1">
      <alignment horizontal="right" wrapText="1"/>
    </xf>
    <xf numFmtId="0" fontId="0" fillId="0" borderId="1" xfId="0" applyFont="1" applyBorder="1" applyAlignment="1" applyProtection="1">
      <alignment horizontal="right"/>
    </xf>
    <xf numFmtId="164" fontId="0" fillId="0" borderId="0" xfId="0" applyNumberFormat="1" applyFont="1" applyAlignment="1" applyProtection="1"/>
    <xf numFmtId="49" fontId="1" fillId="0" borderId="1" xfId="0" applyNumberFormat="1" applyFont="1" applyBorder="1" applyAlignment="1" applyProtection="1"/>
    <xf numFmtId="0" fontId="0" fillId="0" borderId="2" xfId="0" applyFont="1" applyBorder="1" applyAlignment="1" applyProtection="1"/>
    <xf numFmtId="2" fontId="0" fillId="0" borderId="2" xfId="0" applyNumberFormat="1" applyFont="1" applyBorder="1" applyAlignment="1" applyProtection="1"/>
    <xf numFmtId="0" fontId="0" fillId="0" borderId="2" xfId="0" applyFont="1" applyBorder="1" applyAlignment="1" applyProtection="1">
      <alignment horizontal="right"/>
    </xf>
    <xf numFmtId="0" fontId="3" fillId="0" borderId="3" xfId="0" applyFont="1" applyBorder="1" applyAlignment="1" applyProtection="1">
      <alignment horizontal="center" vertical="top"/>
    </xf>
    <xf numFmtId="0" fontId="3" fillId="0" borderId="4" xfId="0" applyFont="1" applyBorder="1" applyAlignment="1" applyProtection="1">
      <alignment horizontal="center" vertical="top"/>
    </xf>
    <xf numFmtId="2" fontId="0" fillId="0" borderId="5" xfId="0" applyNumberFormat="1" applyBorder="1" applyAlignment="1" applyProtection="1"/>
    <xf numFmtId="2" fontId="0" fillId="0" borderId="6" xfId="0" applyNumberFormat="1" applyBorder="1" applyAlignment="1" applyProtection="1"/>
    <xf numFmtId="164" fontId="0" fillId="0" borderId="1" xfId="0" applyNumberFormat="1" applyBorder="1"/>
    <xf numFmtId="0" fontId="3" fillId="3" borderId="3" xfId="0" applyFont="1" applyFill="1" applyBorder="1" applyAlignment="1" applyProtection="1">
      <alignment horizontal="center" vertical="top"/>
    </xf>
    <xf numFmtId="0" fontId="0" fillId="3" borderId="1" xfId="0" applyFont="1" applyFill="1" applyBorder="1" applyAlignment="1" applyProtection="1"/>
    <xf numFmtId="0" fontId="0" fillId="3" borderId="1" xfId="0" applyFill="1" applyBorder="1"/>
    <xf numFmtId="164" fontId="0" fillId="3" borderId="1" xfId="0" applyNumberFormat="1" applyFill="1" applyBorder="1"/>
    <xf numFmtId="0" fontId="0" fillId="3" borderId="1" xfId="0" applyNumberFormat="1" applyFont="1" applyFill="1" applyBorder="1" applyAlignment="1" applyProtection="1"/>
    <xf numFmtId="2" fontId="0" fillId="3" borderId="1" xfId="0" applyNumberFormat="1" applyFont="1" applyFill="1" applyBorder="1" applyAlignment="1" applyProtection="1"/>
    <xf numFmtId="0" fontId="0" fillId="3" borderId="1" xfId="0" applyFont="1" applyFill="1" applyBorder="1" applyAlignment="1" applyProtection="1">
      <alignment horizontal="right"/>
    </xf>
    <xf numFmtId="2" fontId="0" fillId="3" borderId="5" xfId="0" applyNumberFormat="1" applyFill="1" applyBorder="1" applyAlignment="1" applyProtection="1"/>
    <xf numFmtId="0" fontId="3" fillId="3" borderId="4" xfId="0" applyFont="1" applyFill="1" applyBorder="1" applyAlignment="1" applyProtection="1">
      <alignment horizontal="center" vertical="top"/>
    </xf>
    <xf numFmtId="0" fontId="0" fillId="3" borderId="2" xfId="0" applyFont="1" applyFill="1" applyBorder="1" applyAlignment="1" applyProtection="1"/>
    <xf numFmtId="0" fontId="0" fillId="3" borderId="2" xfId="0" applyFill="1" applyBorder="1"/>
    <xf numFmtId="164" fontId="0" fillId="3" borderId="2" xfId="0" applyNumberFormat="1" applyFill="1" applyBorder="1"/>
    <xf numFmtId="0" fontId="0" fillId="3" borderId="2" xfId="0" applyNumberFormat="1" applyFont="1" applyFill="1" applyBorder="1" applyAlignment="1" applyProtection="1"/>
    <xf numFmtId="2" fontId="0" fillId="3" borderId="2" xfId="0" applyNumberFormat="1" applyFont="1" applyFill="1" applyBorder="1" applyAlignment="1" applyProtection="1"/>
    <xf numFmtId="0" fontId="0" fillId="3" borderId="2" xfId="0" applyFont="1" applyFill="1" applyBorder="1" applyAlignment="1" applyProtection="1">
      <alignment horizontal="right"/>
    </xf>
    <xf numFmtId="2" fontId="0" fillId="3" borderId="6" xfId="0" applyNumberFormat="1" applyFill="1" applyBorder="1" applyAlignment="1" applyProtection="1"/>
    <xf numFmtId="0" fontId="3" fillId="4" borderId="3" xfId="0" applyFont="1" applyFill="1" applyBorder="1" applyAlignment="1" applyProtection="1">
      <alignment horizontal="center" vertical="top"/>
    </xf>
    <xf numFmtId="0" fontId="0" fillId="4" borderId="1" xfId="0" applyFont="1" applyFill="1" applyBorder="1" applyAlignment="1" applyProtection="1"/>
    <xf numFmtId="164" fontId="0" fillId="4" borderId="1" xfId="0" applyNumberFormat="1" applyFill="1" applyBorder="1"/>
    <xf numFmtId="2" fontId="0" fillId="4" borderId="1" xfId="0" applyNumberFormat="1" applyFont="1" applyFill="1" applyBorder="1" applyAlignment="1" applyProtection="1"/>
    <xf numFmtId="0" fontId="0" fillId="4" borderId="1" xfId="0" applyFont="1" applyFill="1" applyBorder="1" applyAlignment="1" applyProtection="1">
      <alignment horizontal="right"/>
    </xf>
    <xf numFmtId="2" fontId="0" fillId="4" borderId="5" xfId="0" applyNumberFormat="1" applyFill="1" applyBorder="1" applyAlignment="1" applyProtection="1"/>
    <xf numFmtId="0" fontId="0" fillId="4" borderId="1" xfId="0" applyFont="1" applyFill="1" applyBorder="1" applyAlignment="1" applyProtection="1">
      <alignment horizontal="right" wrapText="1"/>
    </xf>
    <xf numFmtId="0" fontId="2" fillId="5" borderId="7" xfId="0" applyFont="1" applyFill="1" applyBorder="1" applyAlignment="1" applyProtection="1">
      <alignment horizontal="center" vertical="center" wrapText="1"/>
    </xf>
    <xf numFmtId="0" fontId="2" fillId="5" borderId="8" xfId="0" applyFont="1" applyFill="1" applyBorder="1" applyAlignment="1" applyProtection="1">
      <alignment horizontal="center" vertical="center" wrapText="1"/>
    </xf>
    <xf numFmtId="2" fontId="2" fillId="5" borderId="8" xfId="0" applyNumberFormat="1" applyFont="1" applyFill="1" applyBorder="1" applyAlignment="1" applyProtection="1">
      <alignment horizontal="center" vertical="center" wrapText="1"/>
    </xf>
    <xf numFmtId="0" fontId="2" fillId="5" borderId="9" xfId="0" applyFont="1" applyFill="1" applyBorder="1" applyAlignment="1" applyProtection="1">
      <alignment horizontal="center" vertical="center" wrapText="1"/>
    </xf>
  </cellXfs>
  <cellStyles count="1">
    <cellStyle name="Обычный" xfId="0" builtinId="0"/>
  </cellStyles>
  <dxfs count="18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charset val="1"/>
        <scheme val="none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  <protection locked="1" hidden="0"/>
    </dxf>
    <dxf>
      <font>
        <sz val="11"/>
        <color rgb="FF996600"/>
        <name val="Calibri"/>
        <charset val="1"/>
      </font>
      <fill>
        <patternFill>
          <bgColor rgb="FFFFFFCC"/>
        </patternFill>
      </fill>
    </dxf>
    <dxf>
      <numFmt numFmtId="164" formatCode="0.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1" hidden="0"/>
    </dxf>
    <dxf>
      <numFmt numFmtId="2" formatCode="0.00"/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numFmt numFmtId="2" formatCode="0.00"/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numFmt numFmtId="2" formatCode="0.00"/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  <alignment horizontal="center" vertical="top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  <protection locked="1" hidden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2FF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934480-A079-4571-BB93-74ECF3A25C8C}" name="Таблица1" displayName="Таблица1" ref="A1:M25" totalsRowShown="0" headerRowDxfId="0" headerRowBorderDxfId="16" tableBorderDxfId="17" totalsRowBorderDxfId="15">
  <autoFilter ref="A1:M25" xr:uid="{48934480-A079-4571-BB93-74ECF3A25C8C}"/>
  <tableColumns count="13">
    <tableColumn id="1" xr3:uid="{962B0429-A0AB-4869-B754-828FBC11F17A}" name="ticker" dataDxfId="14"/>
    <tableColumn id="2" xr3:uid="{94A79B73-B1AA-44A6-891C-C9BE85369482}" name="name" dataDxfId="13"/>
    <tableColumn id="3" xr3:uid="{9D3ADAC5-D6BA-46D9-94CC-099EB287235F}" name="IR" dataDxfId="12"/>
    <tableColumn id="4" xr3:uid="{ACBDA1B6-831F-421C-8550-32A39DBE4E03}" name="Рост прибыли" dataDxfId="11"/>
    <tableColumn id="5" xr3:uid="{6EA6BC9A-4E97-44E4-9DA9-32EF5F072E82}" name="Выплата дивидендов" dataDxfId="10"/>
    <tableColumn id="6" xr3:uid="{A8CA8F3B-A110-4D12-B583-D6175E2C3951}" name="Рост дивидендов" dataDxfId="9"/>
    <tableColumn id="7" xr3:uid="{E24C1927-927E-40F7-AC48-0AD73477DF88}" name="Рейтинг" dataDxfId="4"/>
    <tableColumn id="8" xr3:uid="{1469C2A0-20BA-4CFC-8A22-C70012E3DBE0}" name="Капитализация, млрд. руб." dataDxfId="2"/>
    <tableColumn id="9" xr3:uid="{F5ED096A-E25E-4855-9C17-9F32304B5714}" name="Free-float" dataDxfId="3"/>
    <tableColumn id="10" xr3:uid="{5EC4AC2D-F41A-4C97-AA3B-95A94E3807F2}" name="Корень free-float" dataDxfId="8">
      <calculatedColumnFormula>(I2*H2)^(1/3)</calculatedColumnFormula>
    </tableColumn>
    <tableColumn id="11" xr3:uid="{BCC7DA35-EE70-4BC6-8100-1A88F9087D96}" name="%, Вес (free float x рейтинг)" dataDxfId="7">
      <calculatedColumnFormula>(J2*G2)/SUMPRODUCT($J$2:$J$25,$G$2:$G$25)*100</calculatedColumnFormula>
    </tableColumn>
    <tableColumn id="12" xr3:uid="{8CD62DFB-F592-4F5B-9796-203EE3A306C5}" name="%, корректировка" dataDxfId="6"/>
    <tableColumn id="13" xr3:uid="{FFB325D3-BF39-4B4A-A1BA-5BDA452DB0E2}" name="%" dataDxfId="5">
      <calculatedColumnFormula array="1">IF(L2&lt;&gt;"nan",L2,G2*J2/SUMPRODUCT(G$2:G$25,J$2:J$25,--(L$2:L$25="nan"))*(100-SUM(L$2:L$25)))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showGridLines="0" zoomScale="85" zoomScaleNormal="85" workbookViewId="0">
      <selection activeCell="E32" sqref="E32"/>
    </sheetView>
  </sheetViews>
  <sheetFormatPr defaultColWidth="8.88671875" defaultRowHeight="15.45" customHeight="1" x14ac:dyDescent="0.3"/>
  <cols>
    <col min="1" max="1" width="8.88671875" style="1"/>
    <col min="2" max="2" width="9.88671875" style="1" customWidth="1"/>
    <col min="3" max="16384" width="8.88671875" style="1"/>
  </cols>
  <sheetData>
    <row r="1" spans="1:2" ht="13.05" customHeight="1" x14ac:dyDescent="0.3">
      <c r="A1" s="2" t="s">
        <v>0</v>
      </c>
      <c r="B1" s="2" t="s">
        <v>1</v>
      </c>
    </row>
    <row r="2" spans="1:2" ht="13.05" customHeight="1" x14ac:dyDescent="0.3">
      <c r="A2" s="3" t="s">
        <v>2</v>
      </c>
      <c r="B2" s="4">
        <v>60</v>
      </c>
    </row>
    <row r="3" spans="1:2" ht="13.05" customHeight="1" x14ac:dyDescent="0.3">
      <c r="A3" s="3" t="s">
        <v>3</v>
      </c>
      <c r="B3" s="4">
        <v>40</v>
      </c>
    </row>
    <row r="4" spans="1:2" ht="13.05" customHeight="1" x14ac:dyDescent="0.3">
      <c r="A4" s="5"/>
      <c r="B4" s="6">
        <f t="array" ref="B4">SUBTOTAL(109,B2:B3)</f>
        <v>100</v>
      </c>
    </row>
  </sheetData>
  <pageMargins left="0.75" right="0.75" top="1" bottom="1" header="0.511811023622047" footer="0.5"/>
  <pageSetup orientation="portrait" horizontalDpi="300" verticalDpi="300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48575"/>
  <sheetViews>
    <sheetView showGridLines="0" tabSelected="1" zoomScale="110" zoomScaleNormal="110" workbookViewId="0">
      <selection activeCell="H9" sqref="H9"/>
    </sheetView>
  </sheetViews>
  <sheetFormatPr defaultColWidth="8.88671875" defaultRowHeight="15.45" customHeight="1" x14ac:dyDescent="0.3"/>
  <cols>
    <col min="1" max="1" width="8.21875" style="1" customWidth="1"/>
    <col min="2" max="2" width="17.33203125" style="1" customWidth="1"/>
    <col min="3" max="3" width="7.33203125" style="1" customWidth="1"/>
    <col min="4" max="4" width="8.44140625" style="1" customWidth="1"/>
    <col min="5" max="5" width="13.6640625" style="1" customWidth="1"/>
    <col min="6" max="6" width="11.21875" style="1" customWidth="1"/>
    <col min="7" max="7" width="7.21875" style="1" customWidth="1"/>
    <col min="8" max="8" width="14.6640625" style="1" customWidth="1"/>
    <col min="9" max="9" width="10.44140625" style="1" customWidth="1"/>
    <col min="10" max="10" width="8.109375" style="7" customWidth="1"/>
    <col min="11" max="11" width="13.77734375" style="7" customWidth="1"/>
    <col min="12" max="12" width="13.33203125" style="1" customWidth="1"/>
    <col min="13" max="13" width="6.6640625" style="1" customWidth="1"/>
    <col min="14" max="16384" width="8.88671875" style="1"/>
  </cols>
  <sheetData>
    <row r="1" spans="1:13" s="8" customFormat="1" ht="55.2" x14ac:dyDescent="0.3">
      <c r="A1" s="45" t="s">
        <v>4</v>
      </c>
      <c r="B1" s="46" t="s">
        <v>5</v>
      </c>
      <c r="C1" s="46" t="s">
        <v>6</v>
      </c>
      <c r="D1" s="46" t="s">
        <v>7</v>
      </c>
      <c r="E1" s="46" t="s">
        <v>8</v>
      </c>
      <c r="F1" s="46" t="s">
        <v>9</v>
      </c>
      <c r="G1" s="46" t="s">
        <v>10</v>
      </c>
      <c r="H1" s="46" t="s">
        <v>11</v>
      </c>
      <c r="I1" s="46" t="s">
        <v>12</v>
      </c>
      <c r="J1" s="47" t="s">
        <v>13</v>
      </c>
      <c r="K1" s="47" t="s">
        <v>14</v>
      </c>
      <c r="L1" s="46" t="s">
        <v>15</v>
      </c>
      <c r="M1" s="48" t="s">
        <v>1</v>
      </c>
    </row>
    <row r="2" spans="1:13" ht="13.05" customHeight="1" x14ac:dyDescent="0.3">
      <c r="A2" s="17" t="s">
        <v>16</v>
      </c>
      <c r="B2" s="9" t="s">
        <v>17</v>
      </c>
      <c r="C2" s="9">
        <v>0.95</v>
      </c>
      <c r="D2" s="9">
        <v>0.71</v>
      </c>
      <c r="E2" s="9">
        <v>0.86</v>
      </c>
      <c r="F2" s="9">
        <v>0.86</v>
      </c>
      <c r="G2" s="9">
        <v>0.84</v>
      </c>
      <c r="H2" s="21">
        <v>5691.8305791599996</v>
      </c>
      <c r="I2" s="9">
        <v>0.48</v>
      </c>
      <c r="J2" s="4">
        <f t="shared" ref="J2:J25" si="0">(I2*H2)^(1/3)</f>
        <v>13.979696211097737</v>
      </c>
      <c r="K2" s="4">
        <f>(J2*G2)/SUMPRODUCT($J$2:$J$25,$G$2:$G$25)*100</f>
        <v>13.598124456465493</v>
      </c>
      <c r="L2" s="10">
        <v>11</v>
      </c>
      <c r="M2" s="19" cm="1">
        <f t="array" ref="M2">IF(L2&lt;&gt;"nan",L2,G2*J2/SUMPRODUCT(G$2:G$25,J$2:J$25,--(L$2:L$25="nan"))*(100-SUM(L$2:L$25)))</f>
        <v>11</v>
      </c>
    </row>
    <row r="3" spans="1:13" ht="12.9" customHeight="1" x14ac:dyDescent="0.3">
      <c r="A3" s="38" t="s">
        <v>18</v>
      </c>
      <c r="B3" s="39" t="s">
        <v>19</v>
      </c>
      <c r="C3" s="39">
        <v>0.3</v>
      </c>
      <c r="D3" s="39">
        <v>0.56999999999999995</v>
      </c>
      <c r="E3" s="39">
        <v>1</v>
      </c>
      <c r="F3" s="39">
        <v>0.56999999999999995</v>
      </c>
      <c r="G3" s="39">
        <v>0.61</v>
      </c>
      <c r="H3" s="40">
        <v>3172.6323241979999</v>
      </c>
      <c r="I3" s="39">
        <v>0.55000000000000004</v>
      </c>
      <c r="J3" s="41">
        <f t="shared" si="0"/>
        <v>12.039103406864305</v>
      </c>
      <c r="K3" s="41">
        <f>(J3*G3)/SUMPRODUCT($J$2:$J$25,$G$2:$G$25)*100</f>
        <v>8.5040532592709681</v>
      </c>
      <c r="L3" s="44">
        <v>5</v>
      </c>
      <c r="M3" s="43" cm="1">
        <f t="array" ref="M3">IF(L3&lt;&gt;"nan",L3,G3*J3/SUMPRODUCT(G$2:G$25,J$2:J$25,--(L$2:L$25="nan"))*(100-SUM(L$2:L$25)))</f>
        <v>5</v>
      </c>
    </row>
    <row r="4" spans="1:13" ht="12.9" customHeight="1" x14ac:dyDescent="0.3">
      <c r="A4" s="17" t="s">
        <v>20</v>
      </c>
      <c r="B4" s="9" t="s">
        <v>21</v>
      </c>
      <c r="C4" s="9">
        <v>0.45</v>
      </c>
      <c r="D4" s="9">
        <v>0.56999999999999995</v>
      </c>
      <c r="E4" s="9">
        <v>1</v>
      </c>
      <c r="F4" s="9">
        <v>0.71</v>
      </c>
      <c r="G4" s="9">
        <v>0.68</v>
      </c>
      <c r="H4" s="21">
        <v>3016.8736416000002</v>
      </c>
      <c r="I4" s="9">
        <v>0.21</v>
      </c>
      <c r="J4" s="4">
        <f t="shared" si="0"/>
        <v>8.5886612093696808</v>
      </c>
      <c r="K4" s="4">
        <f>(J4*G4)/SUMPRODUCT($J$2:$J$25,$G$2:$G$25)*100</f>
        <v>6.7629531077810556</v>
      </c>
      <c r="L4" s="10">
        <v>3</v>
      </c>
      <c r="M4" s="19" cm="1">
        <f t="array" ref="M4">IF(L4&lt;&gt;"nan",L4,G4*J4/SUMPRODUCT(G$2:G$25,J$2:J$25,--(L$2:L$25="nan"))*(100-SUM(L$2:L$25)))</f>
        <v>3</v>
      </c>
    </row>
    <row r="5" spans="1:13" ht="12.9" customHeight="1" x14ac:dyDescent="0.3">
      <c r="A5" s="17" t="s">
        <v>22</v>
      </c>
      <c r="B5" s="9" t="s">
        <v>23</v>
      </c>
      <c r="C5" s="9">
        <v>0.94</v>
      </c>
      <c r="D5" s="9">
        <v>0.86</v>
      </c>
      <c r="E5" s="9">
        <v>0.86</v>
      </c>
      <c r="F5" s="9">
        <v>0.71</v>
      </c>
      <c r="G5" s="9">
        <v>0.84</v>
      </c>
      <c r="H5" s="21">
        <v>333.47004958242002</v>
      </c>
      <c r="I5" s="9">
        <v>0.65</v>
      </c>
      <c r="J5" s="4">
        <f t="shared" si="0"/>
        <v>6.0069875280327674</v>
      </c>
      <c r="K5" s="4">
        <f>(J5*G5)/SUMPRODUCT($J$2:$J$25,$G$2:$G$25)*100</f>
        <v>5.8430285451969395</v>
      </c>
      <c r="L5" s="10">
        <v>9</v>
      </c>
      <c r="M5" s="19" cm="1">
        <f t="array" ref="M5">IF(L5&lt;&gt;"nan",L5,G5*J5/SUMPRODUCT(G$2:G$25,J$2:J$25,--(L$2:L$25="nan"))*(100-SUM(L$2:L$25)))</f>
        <v>9</v>
      </c>
    </row>
    <row r="6" spans="1:13" ht="12.9" customHeight="1" x14ac:dyDescent="0.3">
      <c r="A6" s="17" t="s">
        <v>24</v>
      </c>
      <c r="B6" s="9" t="s">
        <v>25</v>
      </c>
      <c r="C6" s="9">
        <v>0.85</v>
      </c>
      <c r="D6" s="9">
        <v>0.86</v>
      </c>
      <c r="E6" s="9">
        <v>0.56999999999999995</v>
      </c>
      <c r="F6" s="9">
        <v>0.43</v>
      </c>
      <c r="G6" s="9">
        <v>0.68</v>
      </c>
      <c r="H6" s="21">
        <v>686.24690258800001</v>
      </c>
      <c r="I6" s="9">
        <v>0.56000000000000005</v>
      </c>
      <c r="J6" s="4">
        <f t="shared" si="0"/>
        <v>7.2703637741926386</v>
      </c>
      <c r="K6" s="4">
        <f>(J6*G6)/SUMPRODUCT($J$2:$J$25,$G$2:$G$25)*100</f>
        <v>5.72488867388721</v>
      </c>
      <c r="L6" s="11" t="s">
        <v>26</v>
      </c>
      <c r="M6" s="19" cm="1">
        <f t="array" ref="M6">IF(L6&lt;&gt;"nan",L6,G6*J6/SUMPRODUCT(G$2:G$25,J$2:J$25,--(L$2:L$25="nan"))*(100-SUM(L$2:L$25)))</f>
        <v>6.7253260470340814</v>
      </c>
    </row>
    <row r="7" spans="1:13" ht="12.9" customHeight="1" x14ac:dyDescent="0.3">
      <c r="A7" s="38" t="s">
        <v>27</v>
      </c>
      <c r="B7" s="39" t="s">
        <v>28</v>
      </c>
      <c r="C7" s="39">
        <v>0.32</v>
      </c>
      <c r="D7" s="39">
        <v>0.56999999999999995</v>
      </c>
      <c r="E7" s="39">
        <v>1</v>
      </c>
      <c r="F7" s="39">
        <v>0.56999999999999995</v>
      </c>
      <c r="G7" s="39">
        <v>0.61</v>
      </c>
      <c r="H7" s="40">
        <v>1065.1618832300001</v>
      </c>
      <c r="I7" s="39">
        <v>0.32</v>
      </c>
      <c r="J7" s="41">
        <f t="shared" si="0"/>
        <v>6.985355797743086</v>
      </c>
      <c r="K7" s="41">
        <f>(J7*G7)/SUMPRODUCT($J$2:$J$25,$G$2:$G$25)*100</f>
        <v>4.9342410087693338</v>
      </c>
      <c r="L7" s="44">
        <v>3</v>
      </c>
      <c r="M7" s="43" cm="1">
        <f t="array" ref="M7">IF(L7&lt;&gt;"nan",L7,G7*J7/SUMPRODUCT(G$2:G$25,J$2:J$25,--(L$2:L$25="nan"))*(100-SUM(L$2:L$25)))</f>
        <v>3</v>
      </c>
    </row>
    <row r="8" spans="1:13" ht="12.9" customHeight="1" x14ac:dyDescent="0.3">
      <c r="A8" s="38" t="s">
        <v>29</v>
      </c>
      <c r="B8" s="39" t="s">
        <v>30</v>
      </c>
      <c r="C8" s="39">
        <v>0.45</v>
      </c>
      <c r="D8" s="39">
        <v>0.43</v>
      </c>
      <c r="E8" s="39">
        <v>1</v>
      </c>
      <c r="F8" s="39">
        <v>0.43</v>
      </c>
      <c r="G8" s="39">
        <v>0.57999999999999996</v>
      </c>
      <c r="H8" s="40">
        <v>3751.2250383271498</v>
      </c>
      <c r="I8" s="39">
        <v>0.11</v>
      </c>
      <c r="J8" s="41">
        <f t="shared" si="0"/>
        <v>7.4448382737902605</v>
      </c>
      <c r="K8" s="41">
        <f>(J8*G8)/SUMPRODUCT($J$2:$J$25,$G$2:$G$25)*100</f>
        <v>5.0001755614516661</v>
      </c>
      <c r="L8" s="44">
        <v>3</v>
      </c>
      <c r="M8" s="43" cm="1">
        <f t="array" ref="M8">IF(L8&lt;&gt;"nan",L8,G8*J8/SUMPRODUCT(G$2:G$25,J$2:J$25,--(L$2:L$25="nan"))*(100-SUM(L$2:L$25)))</f>
        <v>3</v>
      </c>
    </row>
    <row r="9" spans="1:13" ht="12.9" customHeight="1" x14ac:dyDescent="0.3">
      <c r="A9" s="17" t="s">
        <v>31</v>
      </c>
      <c r="B9" s="9" t="s">
        <v>32</v>
      </c>
      <c r="C9" s="9">
        <v>0.69</v>
      </c>
      <c r="D9" s="9">
        <v>0.56999999999999995</v>
      </c>
      <c r="E9" s="9">
        <v>1</v>
      </c>
      <c r="F9" s="9">
        <v>0.56999999999999995</v>
      </c>
      <c r="G9" s="9">
        <v>0.71</v>
      </c>
      <c r="H9" s="21">
        <v>671.06899999999996</v>
      </c>
      <c r="I9" s="9">
        <v>0.26</v>
      </c>
      <c r="J9" s="4">
        <f t="shared" si="0"/>
        <v>5.587877048828477</v>
      </c>
      <c r="K9" s="4">
        <f>(J9*G9)/SUMPRODUCT($J$2:$J$25,$G$2:$G$25)*100</f>
        <v>4.594171275178863</v>
      </c>
      <c r="L9" s="11" t="s">
        <v>26</v>
      </c>
      <c r="M9" s="19" cm="1">
        <f t="array" ref="M9">IF(L9&lt;&gt;"nan",L9,G9*J9/SUMPRODUCT(G$2:G$25,J$2:J$25,--(L$2:L$25="nan"))*(100-SUM(L$2:L$25)))</f>
        <v>5.3970131999993747</v>
      </c>
    </row>
    <row r="10" spans="1:13" ht="12.9" customHeight="1" x14ac:dyDescent="0.3">
      <c r="A10" s="17" t="s">
        <v>33</v>
      </c>
      <c r="B10" s="9" t="s">
        <v>34</v>
      </c>
      <c r="C10" s="9">
        <v>0.96</v>
      </c>
      <c r="D10" s="9">
        <v>0.86</v>
      </c>
      <c r="E10" s="9">
        <v>0.56999999999999995</v>
      </c>
      <c r="F10" s="9">
        <v>0.56999999999999995</v>
      </c>
      <c r="G10" s="9">
        <v>0.74</v>
      </c>
      <c r="H10" s="21">
        <v>524.54300226800001</v>
      </c>
      <c r="I10" s="9">
        <v>0.28999999999999998</v>
      </c>
      <c r="J10" s="4">
        <f t="shared" si="0"/>
        <v>5.3381777631495941</v>
      </c>
      <c r="K10" s="4">
        <f>(J10*G10)/SUMPRODUCT($J$2:$J$25,$G$2:$G$25)*100</f>
        <v>4.5743221121465432</v>
      </c>
      <c r="L10" s="11" t="s">
        <v>26</v>
      </c>
      <c r="M10" s="19" cm="1">
        <f t="array" ref="M10">IF(L10&lt;&gt;"nan",L10,G10*J10/SUMPRODUCT(G$2:G$25,J$2:J$25,--(L$2:L$25="nan"))*(100-SUM(L$2:L$25)))</f>
        <v>5.3736953503856375</v>
      </c>
    </row>
    <row r="11" spans="1:13" ht="12.9" customHeight="1" x14ac:dyDescent="0.3">
      <c r="A11" s="17" t="s">
        <v>35</v>
      </c>
      <c r="B11" s="9" t="s">
        <v>36</v>
      </c>
      <c r="C11" s="9">
        <v>0.72</v>
      </c>
      <c r="D11" s="9">
        <v>0.71</v>
      </c>
      <c r="E11" s="9">
        <v>1</v>
      </c>
      <c r="F11" s="9">
        <v>0.71</v>
      </c>
      <c r="G11" s="9">
        <v>0.78</v>
      </c>
      <c r="H11" s="21">
        <v>247.428</v>
      </c>
      <c r="I11" s="9">
        <v>0.32</v>
      </c>
      <c r="J11" s="4">
        <f t="shared" si="0"/>
        <v>4.2940418653263492</v>
      </c>
      <c r="K11" s="4">
        <f>(J11*G11)/SUMPRODUCT($J$2:$J$25,$G$2:$G$25)*100</f>
        <v>3.8784917207037815</v>
      </c>
      <c r="L11" s="11" t="s">
        <v>26</v>
      </c>
      <c r="M11" s="19" cm="1">
        <f t="array" ref="M11">IF(L11&lt;&gt;"nan",L11,G11*J11/SUMPRODUCT(G$2:G$25,J$2:J$25,--(L$2:L$25="nan"))*(100-SUM(L$2:L$25)))</f>
        <v>4.5562670085502299</v>
      </c>
    </row>
    <row r="12" spans="1:13" ht="12.9" customHeight="1" x14ac:dyDescent="0.3">
      <c r="A12" s="17" t="s">
        <v>37</v>
      </c>
      <c r="B12" s="9" t="s">
        <v>38</v>
      </c>
      <c r="C12" s="9">
        <v>0.82</v>
      </c>
      <c r="D12" s="9">
        <v>0.71</v>
      </c>
      <c r="E12" s="9">
        <v>0.28999999999999998</v>
      </c>
      <c r="F12" s="9">
        <v>0.28999999999999998</v>
      </c>
      <c r="G12" s="9">
        <v>0.53</v>
      </c>
      <c r="H12" s="21">
        <v>1461.0898048515</v>
      </c>
      <c r="I12" s="9">
        <v>0.3</v>
      </c>
      <c r="J12" s="4">
        <f t="shared" si="0"/>
        <v>7.5962524313175326</v>
      </c>
      <c r="K12" s="4">
        <f>(J12*G12)/SUMPRODUCT($J$2:$J$25,$G$2:$G$25)*100</f>
        <v>4.6620534637997437</v>
      </c>
      <c r="L12" s="11" t="s">
        <v>26</v>
      </c>
      <c r="M12" s="19" cm="1">
        <f t="array" ref="M12">IF(L12&lt;&gt;"nan",L12,G12*J12/SUMPRODUCT(G$2:G$25,J$2:J$25,--(L$2:L$25="nan"))*(100-SUM(L$2:L$25)))</f>
        <v>5.4767579561452973</v>
      </c>
    </row>
    <row r="13" spans="1:13" ht="12.9" customHeight="1" x14ac:dyDescent="0.3">
      <c r="A13" s="17" t="s">
        <v>39</v>
      </c>
      <c r="B13" s="9" t="s">
        <v>40</v>
      </c>
      <c r="C13" s="9">
        <v>0.75</v>
      </c>
      <c r="D13" s="9">
        <v>0.86</v>
      </c>
      <c r="E13" s="9">
        <v>0.71</v>
      </c>
      <c r="F13" s="9">
        <v>0.56999999999999995</v>
      </c>
      <c r="G13" s="9">
        <v>0.72</v>
      </c>
      <c r="H13" s="21">
        <v>119.84969172</v>
      </c>
      <c r="I13" s="9">
        <v>0.42</v>
      </c>
      <c r="J13" s="4">
        <f t="shared" si="0"/>
        <v>3.6922865977439878</v>
      </c>
      <c r="K13" s="4">
        <f>(J13*G13)/SUMPRODUCT($J$2:$J$25,$G$2:$G$25)*100</f>
        <v>3.0784343191258046</v>
      </c>
      <c r="L13" s="11" t="s">
        <v>26</v>
      </c>
      <c r="M13" s="19" cm="1">
        <f t="array" ref="M13">IF(L13&lt;&gt;"nan",L13,G13*J13/SUMPRODUCT(G$2:G$25,J$2:J$25,--(L$2:L$25="nan"))*(100-SUM(L$2:L$25)))</f>
        <v>3.616397748472322</v>
      </c>
    </row>
    <row r="14" spans="1:13" ht="12.9" customHeight="1" x14ac:dyDescent="0.3">
      <c r="A14" s="38" t="s">
        <v>41</v>
      </c>
      <c r="B14" s="39" t="s">
        <v>42</v>
      </c>
      <c r="C14" s="39">
        <v>0.22</v>
      </c>
      <c r="D14" s="39">
        <v>0.43</v>
      </c>
      <c r="E14" s="39">
        <v>1</v>
      </c>
      <c r="F14" s="39">
        <v>0.56999999999999995</v>
      </c>
      <c r="G14" s="39">
        <v>0.56000000000000005</v>
      </c>
      <c r="H14" s="40">
        <v>1997.9836678746001</v>
      </c>
      <c r="I14" s="39">
        <v>4.4999999999999998E-2</v>
      </c>
      <c r="J14" s="41">
        <f t="shared" si="0"/>
        <v>4.4798982401145606</v>
      </c>
      <c r="K14" s="41">
        <f>(J14*G14)/SUMPRODUCT($J$2:$J$25,$G$2:$G$25)*100</f>
        <v>2.9050804777392711</v>
      </c>
      <c r="L14" s="42">
        <v>3</v>
      </c>
      <c r="M14" s="43" cm="1">
        <f t="array" ref="M14">IF(L14&lt;&gt;"nan",L14,G14*J14/SUMPRODUCT(G$2:G$25,J$2:J$25,--(L$2:L$25="nan"))*(100-SUM(L$2:L$25)))</f>
        <v>3</v>
      </c>
    </row>
    <row r="15" spans="1:13" ht="12.9" customHeight="1" x14ac:dyDescent="0.3">
      <c r="A15" s="17" t="s">
        <v>43</v>
      </c>
      <c r="B15" s="9" t="s">
        <v>44</v>
      </c>
      <c r="C15" s="9">
        <v>0.36</v>
      </c>
      <c r="D15" s="9">
        <v>0.28999999999999998</v>
      </c>
      <c r="E15" s="9">
        <v>1</v>
      </c>
      <c r="F15" s="9">
        <v>0.28999999999999998</v>
      </c>
      <c r="G15" s="9">
        <v>0.48</v>
      </c>
      <c r="H15" s="21">
        <v>71.459203599999995</v>
      </c>
      <c r="I15" s="9">
        <v>1</v>
      </c>
      <c r="J15" s="4">
        <f t="shared" si="0"/>
        <v>4.1497257011329021</v>
      </c>
      <c r="K15" s="4">
        <f>(J15*G15)/SUMPRODUCT($J$2:$J$25,$G$2:$G$25)*100</f>
        <v>2.3065486521967755</v>
      </c>
      <c r="L15" s="11" t="s">
        <v>26</v>
      </c>
      <c r="M15" s="19" cm="1">
        <f t="array" ref="M15">IF(L15&lt;&gt;"nan",L15,G15*J15/SUMPRODUCT(G$2:G$25,J$2:J$25,--(L$2:L$25="nan"))*(100-SUM(L$2:L$25)))</f>
        <v>2.7096232980260648</v>
      </c>
    </row>
    <row r="16" spans="1:13" ht="12.9" customHeight="1" x14ac:dyDescent="0.3">
      <c r="A16" s="17" t="s">
        <v>45</v>
      </c>
      <c r="B16" s="9" t="s">
        <v>46</v>
      </c>
      <c r="C16" s="9">
        <v>0.53</v>
      </c>
      <c r="D16" s="9">
        <v>0.71</v>
      </c>
      <c r="E16" s="9">
        <v>1</v>
      </c>
      <c r="F16" s="9">
        <v>0.56999999999999995</v>
      </c>
      <c r="G16" s="9">
        <v>0.7</v>
      </c>
      <c r="H16" s="21">
        <v>107.58321993276</v>
      </c>
      <c r="I16" s="9">
        <v>0.28000000000000003</v>
      </c>
      <c r="J16" s="4">
        <f t="shared" si="0"/>
        <v>3.1114836502428846</v>
      </c>
      <c r="K16" s="4">
        <f>(J16*G16)/SUMPRODUCT($J$2:$J$25,$G$2:$G$25)*100</f>
        <v>2.522130505160308</v>
      </c>
      <c r="L16" s="11" t="s">
        <v>26</v>
      </c>
      <c r="M16" s="19" cm="1">
        <f t="array" ref="M16">IF(L16&lt;&gt;"nan",L16,G16*J16/SUMPRODUCT(G$2:G$25,J$2:J$25,--(L$2:L$25="nan"))*(100-SUM(L$2:L$25)))</f>
        <v>2.962878572249426</v>
      </c>
    </row>
    <row r="17" spans="1:13" ht="12.9" customHeight="1" x14ac:dyDescent="0.3">
      <c r="A17" s="17" t="s">
        <v>47</v>
      </c>
      <c r="B17" s="9" t="s">
        <v>48</v>
      </c>
      <c r="C17" s="9">
        <v>0.32</v>
      </c>
      <c r="D17" s="9">
        <v>0.43</v>
      </c>
      <c r="E17" s="9">
        <v>0.86</v>
      </c>
      <c r="F17" s="9">
        <v>0.71</v>
      </c>
      <c r="G17" s="9">
        <v>0.57999999999999996</v>
      </c>
      <c r="H17" s="21">
        <v>164.07041000000001</v>
      </c>
      <c r="I17" s="9">
        <v>0.37</v>
      </c>
      <c r="J17" s="4">
        <f t="shared" si="0"/>
        <v>3.9301639027180029</v>
      </c>
      <c r="K17" s="4">
        <f>(J17*G17)/SUMPRODUCT($J$2:$J$25,$G$2:$G$25)*100</f>
        <v>2.6396153651925114</v>
      </c>
      <c r="L17" s="10">
        <v>5</v>
      </c>
      <c r="M17" s="19" cm="1">
        <f t="array" ref="M17">IF(L17&lt;&gt;"nan",L17,G17*J17/SUMPRODUCT(G$2:G$25,J$2:J$25,--(L$2:L$25="nan"))*(100-SUM(L$2:L$25)))</f>
        <v>5</v>
      </c>
    </row>
    <row r="18" spans="1:13" ht="12.9" customHeight="1" x14ac:dyDescent="0.3">
      <c r="A18" s="17" t="s">
        <v>49</v>
      </c>
      <c r="B18" s="9" t="s">
        <v>50</v>
      </c>
      <c r="C18" s="9">
        <v>0.62</v>
      </c>
      <c r="D18" s="9">
        <v>1</v>
      </c>
      <c r="E18" s="9">
        <v>1</v>
      </c>
      <c r="F18" s="9">
        <v>0.86</v>
      </c>
      <c r="G18" s="9">
        <v>0.87</v>
      </c>
      <c r="H18" s="21">
        <v>30.926445527599999</v>
      </c>
      <c r="I18" s="9">
        <v>0.75</v>
      </c>
      <c r="J18" s="4">
        <f t="shared" si="0"/>
        <v>2.8518745908950138</v>
      </c>
      <c r="K18" s="4">
        <f>(J18*G18)/SUMPRODUCT($J$2:$J$25,$G$2:$G$25)*100</f>
        <v>2.8731061258752506</v>
      </c>
      <c r="L18" s="11" t="s">
        <v>26</v>
      </c>
      <c r="M18" s="19" cm="1">
        <f t="array" ref="M18">IF(L18&lt;&gt;"nan",L18,G18*J18/SUMPRODUCT(G$2:G$25,J$2:J$25,--(L$2:L$25="nan"))*(100-SUM(L$2:L$25)))</f>
        <v>3.3751879844192567</v>
      </c>
    </row>
    <row r="19" spans="1:13" ht="12.9" customHeight="1" x14ac:dyDescent="0.3">
      <c r="A19" s="17" t="s">
        <v>51</v>
      </c>
      <c r="B19" s="9" t="s">
        <v>52</v>
      </c>
      <c r="C19" s="9">
        <v>0.95</v>
      </c>
      <c r="D19" s="9">
        <v>0.71</v>
      </c>
      <c r="E19" s="9">
        <v>0.86</v>
      </c>
      <c r="F19" s="9">
        <v>0.43</v>
      </c>
      <c r="G19" s="9">
        <v>0.74</v>
      </c>
      <c r="H19" s="21">
        <v>88.234324244999996</v>
      </c>
      <c r="I19" s="9">
        <v>0.27</v>
      </c>
      <c r="J19" s="4">
        <f t="shared" si="0"/>
        <v>2.877401347810467</v>
      </c>
      <c r="K19" s="4">
        <f>(J19*G19)/SUMPRODUCT($J$2:$J$25,$G$2:$G$25)*100</f>
        <v>2.4656654751496769</v>
      </c>
      <c r="L19" s="10">
        <v>5</v>
      </c>
      <c r="M19" s="19" cm="1">
        <f t="array" ref="M19">IF(L19&lt;&gt;"nan",L19,G19*J19/SUMPRODUCT(G$2:G$25,J$2:J$25,--(L$2:L$25="nan"))*(100-SUM(L$2:L$25)))</f>
        <v>5</v>
      </c>
    </row>
    <row r="20" spans="1:13" ht="12.9" customHeight="1" x14ac:dyDescent="0.3">
      <c r="A20" s="17" t="s">
        <v>53</v>
      </c>
      <c r="B20" s="9" t="s">
        <v>54</v>
      </c>
      <c r="C20" s="9">
        <v>0.43</v>
      </c>
      <c r="D20" s="9">
        <v>0.71</v>
      </c>
      <c r="E20" s="9">
        <v>1</v>
      </c>
      <c r="F20" s="9">
        <v>1</v>
      </c>
      <c r="G20" s="9">
        <v>0.78</v>
      </c>
      <c r="H20" s="21">
        <v>14.1222744</v>
      </c>
      <c r="I20" s="9">
        <v>1</v>
      </c>
      <c r="J20" s="4">
        <f t="shared" si="0"/>
        <v>2.4171385709179778</v>
      </c>
      <c r="K20" s="4">
        <f>(J20*G20)/SUMPRODUCT($J$2:$J$25,$G$2:$G$25)*100</f>
        <v>2.18322322630328</v>
      </c>
      <c r="L20" s="11" t="s">
        <v>26</v>
      </c>
      <c r="M20" s="19" cm="1">
        <f t="array" ref="M20">IF(L20&lt;&gt;"nan",L20,G20*J20/SUMPRODUCT(G$2:G$25,J$2:J$25,--(L$2:L$25="nan"))*(100-SUM(L$2:L$25)))</f>
        <v>2.5647464722449396</v>
      </c>
    </row>
    <row r="21" spans="1:13" ht="12.9" customHeight="1" x14ac:dyDescent="0.3">
      <c r="A21" s="17" t="s">
        <v>55</v>
      </c>
      <c r="B21" s="9" t="s">
        <v>56</v>
      </c>
      <c r="C21" s="9">
        <v>0.26</v>
      </c>
      <c r="D21" s="9">
        <v>0.56999999999999995</v>
      </c>
      <c r="E21" s="9">
        <v>1</v>
      </c>
      <c r="F21" s="9">
        <v>0.71</v>
      </c>
      <c r="G21" s="9">
        <v>0.64</v>
      </c>
      <c r="H21" s="21">
        <v>137.32248380199999</v>
      </c>
      <c r="I21" s="9">
        <v>0.13800000000000001</v>
      </c>
      <c r="J21" s="4">
        <f t="shared" si="0"/>
        <v>2.6660824668977976</v>
      </c>
      <c r="K21" s="4">
        <f>(J21*G21)/SUMPRODUCT($J$2:$J$25,$G$2:$G$25)*100</f>
        <v>1.9758571573344326</v>
      </c>
      <c r="L21" s="11" t="s">
        <v>26</v>
      </c>
      <c r="M21" s="19" cm="1">
        <f t="array" ref="M21">IF(L21&lt;&gt;"nan",L21,G21*J21/SUMPRODUCT(G$2:G$25,J$2:J$25,--(L$2:L$25="nan"))*(100-SUM(L$2:L$25)))</f>
        <v>2.3211427090366823</v>
      </c>
    </row>
    <row r="22" spans="1:13" ht="13.05" customHeight="1" x14ac:dyDescent="0.3">
      <c r="A22" s="17" t="s">
        <v>57</v>
      </c>
      <c r="B22" s="9" t="s">
        <v>58</v>
      </c>
      <c r="C22" s="9">
        <v>0.24</v>
      </c>
      <c r="D22" s="9">
        <v>0.28999999999999998</v>
      </c>
      <c r="E22" s="9">
        <v>1</v>
      </c>
      <c r="F22" s="9">
        <v>1</v>
      </c>
      <c r="G22" s="9">
        <v>0.63</v>
      </c>
      <c r="H22" s="21">
        <v>1.84032</v>
      </c>
      <c r="I22" s="9">
        <v>1</v>
      </c>
      <c r="J22" s="4">
        <f t="shared" si="0"/>
        <v>1.2254561677474276</v>
      </c>
      <c r="K22" s="4">
        <f>(J22*G22)/SUMPRODUCT($J$2:$J$25,$G$2:$G$25)*100</f>
        <v>0.89400577272974946</v>
      </c>
      <c r="L22" s="11" t="s">
        <v>26</v>
      </c>
      <c r="M22" s="19" cm="1">
        <f t="array" ref="M22">IF(L22&lt;&gt;"nan",L22,G22*J22/SUMPRODUCT(G$2:G$25,J$2:J$25,--(L$2:L$25="nan"))*(100-SUM(L$2:L$25)))</f>
        <v>1.0502353236950772</v>
      </c>
    </row>
    <row r="23" spans="1:13" ht="13.05" customHeight="1" x14ac:dyDescent="0.3">
      <c r="A23" s="18" t="s">
        <v>59</v>
      </c>
      <c r="B23" s="14" t="s">
        <v>60</v>
      </c>
      <c r="C23" s="14">
        <v>0.94</v>
      </c>
      <c r="D23" s="14">
        <v>0.71</v>
      </c>
      <c r="E23" s="14">
        <v>0.43</v>
      </c>
      <c r="F23" s="14">
        <v>0.28999999999999998</v>
      </c>
      <c r="G23" s="14">
        <v>0.59</v>
      </c>
      <c r="H23" s="21">
        <v>40.523884272799997</v>
      </c>
      <c r="I23" s="14">
        <v>0.3</v>
      </c>
      <c r="J23" s="15">
        <f t="shared" si="0"/>
        <v>2.2993801279655286</v>
      </c>
      <c r="K23" s="15">
        <f>(J23*G23)/SUMPRODUCT($J$2:$J$25,$G$2:$G$25)*100</f>
        <v>1.5709587337018733</v>
      </c>
      <c r="L23" s="16" t="s">
        <v>26</v>
      </c>
      <c r="M23" s="20" cm="1">
        <f t="array" ref="M23">IF(L23&lt;&gt;"nan",L23,G23*J23/SUMPRODUCT(G$2:G$25,J$2:J$25,--(L$2:L$25="nan"))*(100-SUM(L$2:L$25)))</f>
        <v>1.845487360963316</v>
      </c>
    </row>
    <row r="24" spans="1:13" ht="13.05" customHeight="1" x14ac:dyDescent="0.3">
      <c r="A24" s="22" t="s">
        <v>66</v>
      </c>
      <c r="B24" s="23" t="s">
        <v>67</v>
      </c>
      <c r="C24" s="24">
        <v>0.8</v>
      </c>
      <c r="D24" s="23">
        <v>0.71</v>
      </c>
      <c r="E24" s="23">
        <v>0.14000000000000001</v>
      </c>
      <c r="F24" s="23">
        <v>0.14000000000000001</v>
      </c>
      <c r="G24" s="23">
        <v>0.45</v>
      </c>
      <c r="H24" s="25">
        <v>362.11598933400001</v>
      </c>
      <c r="I24" s="26">
        <v>0.1</v>
      </c>
      <c r="J24" s="27">
        <f t="shared" si="0"/>
        <v>3.3083839140784614</v>
      </c>
      <c r="K24" s="27">
        <f>(J24*G24)/SUMPRODUCT($J$2:$J$25,$G$2:$G$25)*100</f>
        <v>1.7239727862955201</v>
      </c>
      <c r="L24" s="28" t="s">
        <v>26</v>
      </c>
      <c r="M24" s="29" cm="1">
        <f t="array" ref="M24">IF(L24&lt;&gt;"nan",L24,G24*J24/SUMPRODUCT(G$2:G$25,J$2:J$25,--(L$2:L$25="nan"))*(100-SUM(L$2:L$25)))</f>
        <v>2.025240968778288</v>
      </c>
    </row>
    <row r="25" spans="1:13" ht="15.45" customHeight="1" x14ac:dyDescent="0.3">
      <c r="A25" s="30" t="s">
        <v>65</v>
      </c>
      <c r="B25" s="31" t="s">
        <v>68</v>
      </c>
      <c r="C25" s="32">
        <v>0.9</v>
      </c>
      <c r="D25" s="31">
        <v>0.56999999999999995</v>
      </c>
      <c r="E25" s="31">
        <v>1</v>
      </c>
      <c r="F25" s="31">
        <v>0.71</v>
      </c>
      <c r="G25" s="31">
        <v>0.79</v>
      </c>
      <c r="H25" s="33">
        <v>349.01734207375</v>
      </c>
      <c r="I25" s="34">
        <v>0.41</v>
      </c>
      <c r="J25" s="35">
        <f t="shared" si="0"/>
        <v>5.2305049951905493</v>
      </c>
      <c r="K25" s="35">
        <f>(J25*G25)/SUMPRODUCT($J$2:$J$25,$G$2:$G$25)*100</f>
        <v>4.7848982185439803</v>
      </c>
      <c r="L25" s="36">
        <v>3</v>
      </c>
      <c r="M25" s="37" cm="1">
        <f t="array" ref="M25">IF(L25&lt;&gt;"nan",L25,G25*J25/SUMPRODUCT(G$2:G$25,J$2:J$25,--(L$2:L$25="nan"))*(100-SUM(L$2:L$25)))</f>
        <v>3</v>
      </c>
    </row>
    <row r="26" spans="1:13" ht="15.45" customHeight="1" x14ac:dyDescent="0.3">
      <c r="M26" s="12">
        <f>SUM(M2:M25)</f>
        <v>99.999999999999972</v>
      </c>
    </row>
    <row r="1048573" ht="12.75" customHeight="1" x14ac:dyDescent="0.3"/>
    <row r="1048574" ht="12.75" customHeight="1" x14ac:dyDescent="0.3"/>
    <row r="1048575" ht="12.75" customHeight="1" x14ac:dyDescent="0.3"/>
  </sheetData>
  <conditionalFormatting sqref="L2:L25">
    <cfRule type="cellIs" dxfId="1" priority="2" operator="equal">
      <formula>"nan"</formula>
    </cfRule>
  </conditionalFormatting>
  <pageMargins left="0.75" right="0.75" top="1" bottom="1" header="0.511811023622047" footer="0.5"/>
  <pageSetup orientation="portrait" horizontalDpi="300" verticalDpi="300"/>
  <headerFooter>
    <oddFooter>&amp;C&amp;"Helvetica Neue,Regular"&amp;12&amp;K000000&amp;P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showGridLines="0" zoomScale="85" zoomScaleNormal="85" workbookViewId="0">
      <selection activeCell="E28" sqref="E28"/>
    </sheetView>
  </sheetViews>
  <sheetFormatPr defaultColWidth="8.88671875" defaultRowHeight="15.45" customHeight="1" x14ac:dyDescent="0.3"/>
  <cols>
    <col min="1" max="16384" width="8.88671875" style="1"/>
  </cols>
  <sheetData>
    <row r="1" spans="1:3" ht="13.05" customHeight="1" x14ac:dyDescent="0.3">
      <c r="A1" s="2" t="s">
        <v>4</v>
      </c>
      <c r="B1" s="2" t="s">
        <v>5</v>
      </c>
      <c r="C1" s="2" t="s">
        <v>1</v>
      </c>
    </row>
    <row r="2" spans="1:3" ht="13.05" customHeight="1" x14ac:dyDescent="0.3">
      <c r="A2" s="3" t="s">
        <v>61</v>
      </c>
      <c r="B2" s="3" t="s">
        <v>62</v>
      </c>
      <c r="C2" s="4">
        <v>15</v>
      </c>
    </row>
    <row r="3" spans="1:3" ht="13.05" customHeight="1" x14ac:dyDescent="0.3">
      <c r="A3" s="3" t="s">
        <v>63</v>
      </c>
      <c r="B3" s="3" t="s">
        <v>64</v>
      </c>
      <c r="C3" s="4">
        <v>85</v>
      </c>
    </row>
    <row r="4" spans="1:3" ht="13.05" customHeight="1" x14ac:dyDescent="0.3">
      <c r="A4" s="13"/>
      <c r="B4" s="5">
        <f t="array" ref="B4">SUBTOTAL(103,B2:B3)</f>
        <v>2</v>
      </c>
      <c r="C4" s="6">
        <f t="array" ref="C4">SUBTOTAL(109,C2:C3)</f>
        <v>100</v>
      </c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categories</vt:lpstr>
      <vt:lpstr>stock</vt:lpstr>
      <vt:lpstr>bonds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ilya</cp:lastModifiedBy>
  <cp:revision>44</cp:revision>
  <dcterms:modified xsi:type="dcterms:W3CDTF">2026-07-23T07:51:42Z</dcterms:modified>
  <dc:language>ru-RU</dc:language>
</cp:coreProperties>
</file>