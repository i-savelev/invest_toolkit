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<sst xmlns="http://schemas.openxmlformats.org/spreadsheetml/2006/main" count="76" uniqueCount="72">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</sst>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0"/>
    <numFmt numFmtId="168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H13" activeCellId="0" sqref="H13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7" min="4" style="1" width="8.86"/>
    <col collapsed="false" customWidth="true" hidden="false" outlineLevel="0" max="8" min="8" style="1" width="9.21"/>
    <col collapsed="false" customWidth="false" hidden="false" outlineLevel="0" max="9" min="9" style="1" width="8.86"/>
    <col collapsed="false" customWidth="false" hidden="false" outlineLevel="0" max="11" min="10" style="7" width="8.86"/>
    <col collapsed="false" customWidth="false" hidden="false" outlineLevel="0" max="16384" min="12" style="1" width="8.86"/>
  </cols>
  <sheetData>
    <row r="1" s="10" customFormat="true" ht="33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customFormat="false" ht="13.1" hidden="false" customHeight="true" outlineLevel="0" collapsed="false">
      <c r="A2" s="11" t="s">
        <v>16</v>
      </c>
      <c r="B2" s="12" t="s">
        <v>17</v>
      </c>
      <c r="C2" s="12" t="n">
        <v>0.95</v>
      </c>
      <c r="D2" s="12" t="n">
        <v>0.71</v>
      </c>
      <c r="E2" s="12" t="n">
        <v>0.86</v>
      </c>
      <c r="F2" s="12" t="n">
        <v>0.86</v>
      </c>
      <c r="G2" s="12" t="n">
        <v>0.84</v>
      </c>
      <c r="H2" s="13" t="n">
        <v>6818.2375258</v>
      </c>
      <c r="I2" s="12" t="n">
        <v>0.48</v>
      </c>
      <c r="J2" s="4" t="n">
        <f aca="false">(I2*H2)^(1/3)</f>
        <v>14.846968530053</v>
      </c>
      <c r="K2" s="4" t="n">
        <f aca="false">(J2*G2)/SUMPRODUCT($J$2:$J$27,$G$2:$G$27)*100</f>
        <v>12.4336522426492</v>
      </c>
      <c r="L2" s="14" t="n">
        <v>11</v>
      </c>
      <c r="M2" s="15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11" t="s">
        <v>18</v>
      </c>
      <c r="B3" s="12" t="s">
        <v>19</v>
      </c>
      <c r="C3" s="12" t="n">
        <v>0.3</v>
      </c>
      <c r="D3" s="12" t="n">
        <v>0.71</v>
      </c>
      <c r="E3" s="12" t="n">
        <v>1</v>
      </c>
      <c r="F3" s="12" t="n">
        <v>0.71</v>
      </c>
      <c r="G3" s="12" t="n">
        <v>0.68</v>
      </c>
      <c r="H3" s="13" t="n">
        <v>3611.909217306</v>
      </c>
      <c r="I3" s="12" t="n">
        <v>0.55</v>
      </c>
      <c r="J3" s="4" t="n">
        <f aca="false">(I3*H3)^(1/3)</f>
        <v>12.5709038658706</v>
      </c>
      <c r="K3" s="4" t="n">
        <f aca="false">(J3*G3)/SUMPRODUCT($J$2:$J$27,$G$2:$G$27)*100</f>
        <v>8.52230475252083</v>
      </c>
      <c r="L3" s="14" t="n">
        <v>7</v>
      </c>
      <c r="M3" s="15" t="n">
        <f aca="false">IF(L3&gt;0, L3, G3*J3 / SUMPRODUCT(G$2:G$27 * J$2:J$27 * (L$2:L$27=0)) * (100 - SUM(L$2:L$27)))</f>
        <v>7</v>
      </c>
    </row>
    <row r="4" customFormat="false" ht="12.9" hidden="false" customHeight="true" outlineLevel="0" collapsed="false">
      <c r="A4" s="11" t="s">
        <v>20</v>
      </c>
      <c r="B4" s="12" t="s">
        <v>21</v>
      </c>
      <c r="C4" s="12" t="n">
        <v>0.45</v>
      </c>
      <c r="D4" s="12" t="n">
        <v>0.71</v>
      </c>
      <c r="E4" s="12" t="n">
        <v>1</v>
      </c>
      <c r="F4" s="12" t="n">
        <v>0.71</v>
      </c>
      <c r="G4" s="12" t="n">
        <v>0.72</v>
      </c>
      <c r="H4" s="13" t="n">
        <v>3601.3625466</v>
      </c>
      <c r="I4" s="12" t="n">
        <v>0.21</v>
      </c>
      <c r="J4" s="4" t="n">
        <f aca="false">(I4*H4)^(1/3)</f>
        <v>9.11091607454243</v>
      </c>
      <c r="K4" s="4" t="n">
        <f aca="false">(J4*G4)/SUMPRODUCT($J$2:$J$27,$G$2:$G$27)*100</f>
        <v>6.53997645686887</v>
      </c>
      <c r="L4" s="14" t="n">
        <v>4</v>
      </c>
      <c r="M4" s="15" t="n">
        <f aca="false">IF(L4&gt;0, L4, G4*J4 / SUMPRODUCT(G$2:G$27 * J$2:J$27 * (L$2:L$27=0)) * (100 - SUM(L$2:L$27)))</f>
        <v>4</v>
      </c>
    </row>
    <row r="5" customFormat="false" ht="12.9" hidden="false" customHeight="true" outlineLevel="0" collapsed="false">
      <c r="A5" s="11" t="s">
        <v>22</v>
      </c>
      <c r="B5" s="12" t="s">
        <v>23</v>
      </c>
      <c r="C5" s="12" t="n">
        <v>0.94</v>
      </c>
      <c r="D5" s="12" t="n">
        <v>1</v>
      </c>
      <c r="E5" s="12" t="n">
        <v>0.86</v>
      </c>
      <c r="F5" s="12" t="n">
        <v>0.71</v>
      </c>
      <c r="G5" s="12" t="n">
        <v>0.88</v>
      </c>
      <c r="H5" s="13" t="n">
        <v>418.19771184918</v>
      </c>
      <c r="I5" s="12" t="n">
        <v>0.65</v>
      </c>
      <c r="J5" s="4" t="n">
        <f aca="false">(I5*H5)^(1/3)</f>
        <v>6.47786166856469</v>
      </c>
      <c r="K5" s="4" t="n">
        <f aca="false">(J5*G5)/SUMPRODUCT($J$2:$J$27,$G$2:$G$27)*100</f>
        <v>5.68323983893055</v>
      </c>
      <c r="L5" s="14" t="n">
        <v>9</v>
      </c>
      <c r="M5" s="15" t="n">
        <f aca="false">IF(L5&gt;0, L5, G5*J5 / SUMPRODUCT(G$2:G$27 * J$2:J$27 * (L$2:L$27=0)) * (100 - SUM(L$2:L$27)))</f>
        <v>9</v>
      </c>
    </row>
    <row r="6" customFormat="false" ht="12.9" hidden="false" customHeight="true" outlineLevel="0" collapsed="false">
      <c r="A6" s="11" t="s">
        <v>24</v>
      </c>
      <c r="B6" s="12" t="s">
        <v>25</v>
      </c>
      <c r="C6" s="12" t="n">
        <v>0.85</v>
      </c>
      <c r="D6" s="12" t="n">
        <v>0.86</v>
      </c>
      <c r="E6" s="12" t="n">
        <v>0.57</v>
      </c>
      <c r="F6" s="12" t="n">
        <v>0.43</v>
      </c>
      <c r="G6" s="12" t="n">
        <v>0.68</v>
      </c>
      <c r="H6" s="13" t="n">
        <v>942.0200835604</v>
      </c>
      <c r="I6" s="12" t="n">
        <v>0.56</v>
      </c>
      <c r="J6" s="4" t="n">
        <f aca="false">(I6*H6)^(1/3)</f>
        <v>8.08008748431681</v>
      </c>
      <c r="K6" s="4" t="n">
        <f aca="false">(J6*G6)/SUMPRODUCT($J$2:$J$27,$G$2:$G$27)*100</f>
        <v>5.47780562981883</v>
      </c>
      <c r="L6" s="12"/>
      <c r="M6" s="15" t="n">
        <f aca="false">IF(L6&gt;0, L6, G6*J6 / SUMPRODUCT(G$2:G$27 * J$2:J$27 * (L$2:L$27=0)) * (100 - SUM(L$2:L$27)))</f>
        <v>6.53893283608027</v>
      </c>
    </row>
    <row r="7" customFormat="false" ht="12.9" hidden="false" customHeight="true" outlineLevel="0" collapsed="false">
      <c r="A7" s="11" t="s">
        <v>26</v>
      </c>
      <c r="B7" s="12" t="s">
        <v>27</v>
      </c>
      <c r="C7" s="12" t="n">
        <v>0.32</v>
      </c>
      <c r="D7" s="12" t="n">
        <v>0.71</v>
      </c>
      <c r="E7" s="12" t="n">
        <v>1</v>
      </c>
      <c r="F7" s="12" t="n">
        <v>0.71</v>
      </c>
      <c r="G7" s="12" t="n">
        <v>0.68</v>
      </c>
      <c r="H7" s="13" t="n">
        <v>1186.07921708</v>
      </c>
      <c r="I7" s="12" t="n">
        <v>0.32</v>
      </c>
      <c r="J7" s="4" t="n">
        <f aca="false">(I7*H7)^(1/3)</f>
        <v>7.24026660206874</v>
      </c>
      <c r="K7" s="4" t="n">
        <f aca="false">(J7*G7)/SUMPRODUCT($J$2:$J$27,$G$2:$G$27)*100</f>
        <v>4.90845838379618</v>
      </c>
      <c r="L7" s="14" t="n">
        <v>3</v>
      </c>
      <c r="M7" s="15" t="n">
        <f aca="false">IF(L7&gt;0, L7, G7*J7 / SUMPRODUCT(G$2:G$27 * J$2:J$27 * (L$2:L$27=0)) * (100 - SUM(L$2:L$27)))</f>
        <v>3</v>
      </c>
    </row>
    <row r="8" customFormat="false" ht="12.9" hidden="false" customHeight="true" outlineLevel="0" collapsed="false">
      <c r="A8" s="11" t="s">
        <v>28</v>
      </c>
      <c r="B8" s="12" t="s">
        <v>29</v>
      </c>
      <c r="C8" s="12" t="n">
        <v>0.45</v>
      </c>
      <c r="D8" s="12" t="n">
        <v>0.57</v>
      </c>
      <c r="E8" s="12" t="n">
        <v>1</v>
      </c>
      <c r="F8" s="12" t="n">
        <v>0.57</v>
      </c>
      <c r="G8" s="12" t="n">
        <v>0.65</v>
      </c>
      <c r="H8" s="13" t="n">
        <v>4172.5026065529</v>
      </c>
      <c r="I8" s="12" t="n">
        <v>0.11</v>
      </c>
      <c r="J8" s="4" t="n">
        <f aca="false">(I8*H8)^(1/3)</f>
        <v>7.71370632766035</v>
      </c>
      <c r="K8" s="4" t="n">
        <f aca="false">(J8*G8)/SUMPRODUCT($J$2:$J$27,$G$2:$G$27)*100</f>
        <v>4.99871181501778</v>
      </c>
      <c r="L8" s="14" t="n">
        <v>3</v>
      </c>
      <c r="M8" s="15" t="n">
        <f aca="false">IF(L8&gt;0, L8, G8*J8 / SUMPRODUCT(G$2:G$27 * J$2:J$27 * (L$2:L$27=0)) * (100 - SUM(L$2:L$27)))</f>
        <v>3</v>
      </c>
    </row>
    <row r="9" customFormat="false" ht="12.9" hidden="false" customHeight="true" outlineLevel="0" collapsed="false">
      <c r="A9" s="11" t="s">
        <v>30</v>
      </c>
      <c r="B9" s="12" t="s">
        <v>31</v>
      </c>
      <c r="C9" s="12" t="n">
        <v>0.69</v>
      </c>
      <c r="D9" s="12" t="n">
        <v>0.57</v>
      </c>
      <c r="E9" s="12" t="n">
        <v>1</v>
      </c>
      <c r="F9" s="12" t="n">
        <v>0.71</v>
      </c>
      <c r="G9" s="12" t="n">
        <v>0.74</v>
      </c>
      <c r="H9" s="13" t="n">
        <v>869.0745</v>
      </c>
      <c r="I9" s="12" t="n">
        <v>0.26</v>
      </c>
      <c r="J9" s="4" t="n">
        <f aca="false">(I9*H9)^(1/3)</f>
        <v>6.09083430428571</v>
      </c>
      <c r="K9" s="4" t="n">
        <f aca="false">(J9*G9)/SUMPRODUCT($J$2:$J$27,$G$2:$G$27)*100</f>
        <v>4.49355588392838</v>
      </c>
      <c r="L9" s="12"/>
      <c r="M9" s="15" t="n">
        <f aca="false">IF(L9&gt;0, L9, G9*J9 / SUMPRODUCT(G$2:G$27 * J$2:J$27 * (L$2:L$27=0)) * (100 - SUM(L$2:L$27)))</f>
        <v>5.36402021280787</v>
      </c>
    </row>
    <row r="10" customFormat="false" ht="12.9" hidden="false" customHeight="true" outlineLevel="0" collapsed="false">
      <c r="A10" s="11" t="s">
        <v>32</v>
      </c>
      <c r="B10" s="12" t="s">
        <v>33</v>
      </c>
      <c r="C10" s="12" t="n">
        <v>0.96</v>
      </c>
      <c r="D10" s="12" t="n">
        <v>0.86</v>
      </c>
      <c r="E10" s="12" t="n">
        <v>0.57</v>
      </c>
      <c r="F10" s="12" t="n">
        <v>0.57</v>
      </c>
      <c r="G10" s="12" t="n">
        <v>0.74</v>
      </c>
      <c r="H10" s="13" t="n">
        <v>658.700001036</v>
      </c>
      <c r="I10" s="12" t="n">
        <v>0.29</v>
      </c>
      <c r="J10" s="4" t="n">
        <f aca="false">(I10*H10)^(1/3)</f>
        <v>5.75919637688642</v>
      </c>
      <c r="K10" s="4" t="n">
        <f aca="false">(J10*G10)/SUMPRODUCT($J$2:$J$27,$G$2:$G$27)*100</f>
        <v>4.24888766845085</v>
      </c>
      <c r="L10" s="12"/>
      <c r="M10" s="15" t="n">
        <f aca="false">IF(L10&gt;0, L10, G10*J10 / SUMPRODUCT(G$2:G$27 * J$2:J$27 * (L$2:L$27=0)) * (100 - SUM(L$2:L$27)))</f>
        <v>5.07195635800036</v>
      </c>
    </row>
    <row r="11" customFormat="false" ht="12.9" hidden="false" customHeight="true" outlineLevel="0" collapsed="false">
      <c r="A11" s="11" t="s">
        <v>34</v>
      </c>
      <c r="B11" s="12" t="s">
        <v>35</v>
      </c>
      <c r="C11" s="12" t="n">
        <v>0.72</v>
      </c>
      <c r="D11" s="12" t="n">
        <v>0.86</v>
      </c>
      <c r="E11" s="12" t="n">
        <v>1</v>
      </c>
      <c r="F11" s="12" t="n">
        <v>0.86</v>
      </c>
      <c r="G11" s="12" t="n">
        <v>0.86</v>
      </c>
      <c r="H11" s="13" t="n">
        <v>347.5998</v>
      </c>
      <c r="I11" s="12" t="n">
        <v>0.32</v>
      </c>
      <c r="J11" s="4" t="n">
        <f aca="false">(I11*H11)^(1/3)</f>
        <v>4.80924053286644</v>
      </c>
      <c r="K11" s="4" t="n">
        <f aca="false">(J11*G11)/SUMPRODUCT($J$2:$J$27,$G$2:$G$27)*100</f>
        <v>4.12341068831441</v>
      </c>
      <c r="L11" s="12"/>
      <c r="M11" s="15" t="n">
        <f aca="false">IF(L11&gt;0, L11, G11*J11 / SUMPRODUCT(G$2:G$27 * J$2:J$27 * (L$2:L$27=0)) * (100 - SUM(L$2:L$27)))</f>
        <v>4.92217274006402</v>
      </c>
    </row>
    <row r="12" customFormat="false" ht="12.9" hidden="false" customHeight="true" outlineLevel="0" collapsed="false">
      <c r="A12" s="11" t="s">
        <v>36</v>
      </c>
      <c r="B12" s="12" t="s">
        <v>37</v>
      </c>
      <c r="C12" s="12" t="n">
        <v>0.87</v>
      </c>
      <c r="D12" s="12" t="n">
        <v>0.29</v>
      </c>
      <c r="E12" s="12" t="n">
        <v>0.86</v>
      </c>
      <c r="F12" s="12" t="n">
        <v>0.57</v>
      </c>
      <c r="G12" s="12" t="n">
        <v>0.65</v>
      </c>
      <c r="H12" s="13" t="n">
        <v>806.052894652</v>
      </c>
      <c r="I12" s="12" t="n">
        <v>0.23</v>
      </c>
      <c r="J12" s="4" t="n">
        <f aca="false">(I12*H12)^(1/3)</f>
        <v>5.70204262249916</v>
      </c>
      <c r="K12" s="4" t="n">
        <f aca="false">(J12*G12)/SUMPRODUCT($J$2:$J$27,$G$2:$G$27)*100</f>
        <v>3.6950937222764</v>
      </c>
      <c r="L12" s="14" t="n">
        <v>1</v>
      </c>
      <c r="M12" s="15" t="n">
        <f aca="false">IF(L12&gt;0, L12, G12*J12 / SUMPRODUCT(G$2:G$27 * J$2:J$27 * (L$2:L$27=0)) * (100 - SUM(L$2:L$27)))</f>
        <v>1</v>
      </c>
    </row>
    <row r="13" customFormat="false" ht="12.9" hidden="false" customHeight="true" outlineLevel="0" collapsed="false">
      <c r="A13" s="11" t="s">
        <v>38</v>
      </c>
      <c r="B13" s="12" t="s">
        <v>39</v>
      </c>
      <c r="C13" s="12" t="n">
        <v>0.82</v>
      </c>
      <c r="D13" s="12" t="n">
        <v>0.71</v>
      </c>
      <c r="E13" s="12" t="n">
        <v>0.14</v>
      </c>
      <c r="F13" s="12" t="n">
        <v>0.14</v>
      </c>
      <c r="G13" s="12" t="n">
        <v>0.45</v>
      </c>
      <c r="H13" s="13" t="n">
        <v>1881.1563451</v>
      </c>
      <c r="I13" s="12" t="n">
        <v>0.3</v>
      </c>
      <c r="J13" s="4" t="n">
        <f aca="false">(I13*H13)^(1/3)</f>
        <v>8.26384283163117</v>
      </c>
      <c r="K13" s="4" t="n">
        <f aca="false">(J13*G13)/SUMPRODUCT($J$2:$J$27,$G$2:$G$27)*100</f>
        <v>3.70745770238359</v>
      </c>
      <c r="L13" s="12"/>
      <c r="M13" s="15" t="n">
        <f aca="false">IF(L13&gt;0, L13, G13*J13 / SUMPRODUCT(G$2:G$27 * J$2:J$27 * (L$2:L$27=0)) * (100 - SUM(L$2:L$27)))</f>
        <v>4.42564387033509</v>
      </c>
    </row>
    <row r="14" customFormat="false" ht="12.9" hidden="false" customHeight="true" outlineLevel="0" collapsed="false">
      <c r="A14" s="11" t="s">
        <v>40</v>
      </c>
      <c r="B14" s="12" t="s">
        <v>41</v>
      </c>
      <c r="C14" s="12" t="n">
        <v>0.75</v>
      </c>
      <c r="D14" s="12" t="n">
        <v>1</v>
      </c>
      <c r="E14" s="12" t="n">
        <v>0.71</v>
      </c>
      <c r="F14" s="12" t="n">
        <v>0.71</v>
      </c>
      <c r="G14" s="12" t="n">
        <v>0.79</v>
      </c>
      <c r="H14" s="13" t="n">
        <v>138.298994658</v>
      </c>
      <c r="I14" s="12" t="n">
        <v>0.42</v>
      </c>
      <c r="J14" s="4" t="n">
        <f aca="false">(I14*H14)^(1/3)</f>
        <v>3.87277950355116</v>
      </c>
      <c r="K14" s="4" t="n">
        <f aca="false">(J14*G14)/SUMPRODUCT($J$2:$J$27,$G$2:$G$27)*100</f>
        <v>3.05022239092543</v>
      </c>
      <c r="L14" s="12"/>
      <c r="M14" s="15" t="n">
        <f aca="false">IF(L14&gt;0, L14, G14*J14 / SUMPRODUCT(G$2:G$27 * J$2:J$27 * (L$2:L$27=0)) * (100 - SUM(L$2:L$27)))</f>
        <v>3.6410929297667</v>
      </c>
    </row>
    <row r="15" customFormat="false" ht="12.9" hidden="false" customHeight="true" outlineLevel="0" collapsed="false">
      <c r="A15" s="11" t="s">
        <v>42</v>
      </c>
      <c r="B15" s="12" t="s">
        <v>43</v>
      </c>
      <c r="C15" s="12" t="n">
        <v>0.09</v>
      </c>
      <c r="D15" s="12" t="n">
        <v>0.57</v>
      </c>
      <c r="E15" s="12" t="n">
        <v>1</v>
      </c>
      <c r="F15" s="12" t="n">
        <v>0.43</v>
      </c>
      <c r="G15" s="12" t="n">
        <v>0.52</v>
      </c>
      <c r="H15" s="13" t="n">
        <v>325.60197538462</v>
      </c>
      <c r="I15" s="12" t="n">
        <v>0.25</v>
      </c>
      <c r="J15" s="4" t="n">
        <f aca="false">(I15*H15)^(1/3)</f>
        <v>4.33386800361662</v>
      </c>
      <c r="K15" s="4" t="n">
        <f aca="false">(J15*G15)/SUMPRODUCT($J$2:$J$27,$G$2:$G$27)*100</f>
        <v>2.24678060316841</v>
      </c>
      <c r="L15" s="14" t="n">
        <v>1</v>
      </c>
      <c r="M15" s="15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11" t="s">
        <v>44</v>
      </c>
      <c r="B16" s="12" t="s">
        <v>45</v>
      </c>
      <c r="C16" s="12" t="n">
        <v>0.22</v>
      </c>
      <c r="D16" s="12" t="n">
        <v>0.57</v>
      </c>
      <c r="E16" s="12" t="n">
        <v>1</v>
      </c>
      <c r="F16" s="12" t="n">
        <v>0.71</v>
      </c>
      <c r="G16" s="12" t="n">
        <v>0.62</v>
      </c>
      <c r="H16" s="13" t="n">
        <v>2404.7871769008</v>
      </c>
      <c r="I16" s="12" t="n">
        <v>0.045</v>
      </c>
      <c r="J16" s="4" t="n">
        <f aca="false">(I16*H16)^(1/3)</f>
        <v>4.76536737367991</v>
      </c>
      <c r="K16" s="4" t="n">
        <f aca="false">(J16*G16)/SUMPRODUCT($J$2:$J$27,$G$2:$G$27)*100</f>
        <v>2.94557251583828</v>
      </c>
      <c r="L16" s="12" t="n">
        <v>3</v>
      </c>
      <c r="M16" s="15" t="n">
        <f aca="false">IF(L16&gt;0, L16, G16*J16 / SUMPRODUCT(G$2:G$27 * J$2:J$27 * (L$2:L$27=0)) * (100 - SUM(L$2:L$27)))</f>
        <v>3</v>
      </c>
    </row>
    <row r="17" customFormat="false" ht="12.9" hidden="false" customHeight="true" outlineLevel="0" collapsed="false">
      <c r="A17" s="11" t="s">
        <v>46</v>
      </c>
      <c r="B17" s="12" t="s">
        <v>47</v>
      </c>
      <c r="C17" s="12" t="n">
        <v>0.36</v>
      </c>
      <c r="D17" s="12" t="n">
        <v>0.43</v>
      </c>
      <c r="E17" s="12" t="n">
        <v>1</v>
      </c>
      <c r="F17" s="12" t="n">
        <v>0.43</v>
      </c>
      <c r="G17" s="12" t="n">
        <v>0.56</v>
      </c>
      <c r="H17" s="13" t="n">
        <v>129.6255452</v>
      </c>
      <c r="I17" s="12" t="n">
        <v>1</v>
      </c>
      <c r="J17" s="4" t="n">
        <f aca="false">(I17*H17)^(1/3)</f>
        <v>5.06092846466033</v>
      </c>
      <c r="K17" s="4" t="n">
        <f aca="false">(J17*G17)/SUMPRODUCT($J$2:$J$27,$G$2:$G$27)*100</f>
        <v>2.82552964385233</v>
      </c>
      <c r="L17" s="12"/>
      <c r="M17" s="15" t="n">
        <f aca="false">IF(L17&gt;0, L17, G17*J17 / SUMPRODUCT(G$2:G$27 * J$2:J$27 * (L$2:L$27=0)) * (100 - SUM(L$2:L$27)))</f>
        <v>3.37287406966925</v>
      </c>
    </row>
    <row r="18" customFormat="false" ht="12.9" hidden="false" customHeight="true" outlineLevel="0" collapsed="false">
      <c r="A18" s="11" t="s">
        <v>48</v>
      </c>
      <c r="B18" s="12" t="s">
        <v>49</v>
      </c>
      <c r="C18" s="12" t="n">
        <v>0.53</v>
      </c>
      <c r="D18" s="12" t="n">
        <v>0.86</v>
      </c>
      <c r="E18" s="12" t="n">
        <v>1</v>
      </c>
      <c r="F18" s="12" t="n">
        <v>0.71</v>
      </c>
      <c r="G18" s="12" t="n">
        <v>0.78</v>
      </c>
      <c r="H18" s="13" t="n">
        <v>151.79940669764</v>
      </c>
      <c r="I18" s="12" t="n">
        <v>0.28</v>
      </c>
      <c r="J18" s="4" t="n">
        <f aca="false">(I18*H18)^(1/3)</f>
        <v>3.48987095620429</v>
      </c>
      <c r="K18" s="4" t="n">
        <f aca="false">(J18*G18)/SUMPRODUCT($J$2:$J$27,$G$2:$G$27)*100</f>
        <v>2.71384858701879</v>
      </c>
      <c r="L18" s="12"/>
      <c r="M18" s="15" t="n">
        <f aca="false">IF(L18&gt;0, L18, G18*J18 / SUMPRODUCT(G$2:G$27 * J$2:J$27 * (L$2:L$27=0)) * (100 - SUM(L$2:L$27)))</f>
        <v>3.2395588374307</v>
      </c>
    </row>
    <row r="19" customFormat="false" ht="12.9" hidden="false" customHeight="true" outlineLevel="0" collapsed="false">
      <c r="A19" s="11" t="s">
        <v>50</v>
      </c>
      <c r="B19" s="12" t="s">
        <v>51</v>
      </c>
      <c r="C19" s="12" t="n">
        <v>0.32</v>
      </c>
      <c r="D19" s="12" t="n">
        <v>0.57</v>
      </c>
      <c r="E19" s="12" t="n">
        <v>1</v>
      </c>
      <c r="F19" s="12" t="n">
        <v>0.71</v>
      </c>
      <c r="G19" s="12" t="n">
        <v>0.65</v>
      </c>
      <c r="H19" s="13" t="n">
        <v>221.91176</v>
      </c>
      <c r="I19" s="12" t="n">
        <v>0.37</v>
      </c>
      <c r="J19" s="4" t="n">
        <f aca="false">(I19*H19)^(1/3)</f>
        <v>4.34637653424135</v>
      </c>
      <c r="K19" s="4" t="n">
        <f aca="false">(J19*G19)/SUMPRODUCT($J$2:$J$27,$G$2:$G$27)*100</f>
        <v>2.81658165495886</v>
      </c>
      <c r="L19" s="14" t="n">
        <v>5</v>
      </c>
      <c r="M19" s="15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11" t="s">
        <v>52</v>
      </c>
      <c r="B20" s="12" t="s">
        <v>53</v>
      </c>
      <c r="C20" s="12" t="n">
        <v>0.24</v>
      </c>
      <c r="D20" s="12" t="n">
        <v>0.57</v>
      </c>
      <c r="E20" s="12" t="n">
        <v>0.71</v>
      </c>
      <c r="F20" s="12" t="n">
        <v>0.57</v>
      </c>
      <c r="G20" s="12" t="n">
        <v>0.52</v>
      </c>
      <c r="H20" s="13" t="n">
        <v>663.8098491024</v>
      </c>
      <c r="I20" s="12" t="n">
        <v>0.21</v>
      </c>
      <c r="J20" s="4" t="n">
        <f aca="false">(I20*H20)^(1/3)</f>
        <v>5.1850664778665</v>
      </c>
      <c r="K20" s="4" t="n">
        <f aca="false">(J20*G20)/SUMPRODUCT($J$2:$J$27,$G$2:$G$27)*100</f>
        <v>2.68806220652948</v>
      </c>
      <c r="L20" s="14" t="n">
        <v>1</v>
      </c>
      <c r="M20" s="15" t="n">
        <f aca="false">IF(L20&gt;0, L20, G20*J20 / SUMPRODUCT(G$2:G$27 * J$2:J$27 * (L$2:L$27=0)) * (100 - SUM(L$2:L$27)))</f>
        <v>1</v>
      </c>
    </row>
    <row r="21" customFormat="false" ht="12.9" hidden="false" customHeight="true" outlineLevel="0" collapsed="false">
      <c r="A21" s="11" t="s">
        <v>54</v>
      </c>
      <c r="B21" s="12" t="s">
        <v>55</v>
      </c>
      <c r="C21" s="12" t="n">
        <v>0.62</v>
      </c>
      <c r="D21" s="12" t="n">
        <v>1</v>
      </c>
      <c r="E21" s="12" t="n">
        <v>1</v>
      </c>
      <c r="F21" s="12" t="n">
        <v>0.71</v>
      </c>
      <c r="G21" s="12" t="n">
        <v>0.83</v>
      </c>
      <c r="H21" s="13" t="n">
        <v>29.4901751382</v>
      </c>
      <c r="I21" s="12" t="n">
        <v>0.75</v>
      </c>
      <c r="J21" s="4" t="n">
        <f aca="false">(I21*H21)^(1/3)</f>
        <v>2.80702451187883</v>
      </c>
      <c r="K21" s="4" t="n">
        <f aca="false">(J21*G21)/SUMPRODUCT($J$2:$J$27,$G$2:$G$27)*100</f>
        <v>2.3227685642901</v>
      </c>
      <c r="L21" s="12"/>
      <c r="M21" s="15" t="n">
        <f aca="false">IF(L21&gt;0, L21, G21*J21 / SUMPRODUCT(G$2:G$27 * J$2:J$27 * (L$2:L$27=0)) * (100 - SUM(L$2:L$27)))</f>
        <v>2.77272117012919</v>
      </c>
    </row>
    <row r="22" customFormat="false" ht="12.9" hidden="false" customHeight="true" outlineLevel="0" collapsed="false">
      <c r="A22" s="11" t="s">
        <v>56</v>
      </c>
      <c r="B22" s="12" t="s">
        <v>57</v>
      </c>
      <c r="C22" s="12" t="n">
        <v>0.95</v>
      </c>
      <c r="D22" s="12" t="n">
        <v>0.71</v>
      </c>
      <c r="E22" s="12" t="n">
        <v>0.86</v>
      </c>
      <c r="F22" s="12" t="n">
        <v>0.43</v>
      </c>
      <c r="G22" s="12" t="n">
        <v>0.74</v>
      </c>
      <c r="H22" s="13" t="n">
        <v>113.829415152</v>
      </c>
      <c r="I22" s="12" t="n">
        <v>0.27</v>
      </c>
      <c r="J22" s="4" t="n">
        <f aca="false">(I22*H22)^(1/3)</f>
        <v>3.13236783850791</v>
      </c>
      <c r="K22" s="4" t="n">
        <f aca="false">(J22*G22)/SUMPRODUCT($J$2:$J$27,$G$2:$G$27)*100</f>
        <v>2.31092642291242</v>
      </c>
      <c r="L22" s="14" t="n">
        <v>4</v>
      </c>
      <c r="M22" s="15" t="n">
        <f aca="false">IF(L22&gt;0, L22, G22*J22 / SUMPRODUCT(G$2:G$27 * J$2:J$27 * (L$2:L$27=0)) * (100 - SUM(L$2:L$27)))</f>
        <v>4</v>
      </c>
    </row>
    <row r="23" customFormat="false" ht="12.9" hidden="false" customHeight="true" outlineLevel="0" collapsed="false">
      <c r="A23" s="11" t="s">
        <v>58</v>
      </c>
      <c r="B23" s="12" t="s">
        <v>59</v>
      </c>
      <c r="C23" s="12" t="n">
        <v>0.43</v>
      </c>
      <c r="D23" s="12" t="n">
        <v>0.86</v>
      </c>
      <c r="E23" s="12" t="n">
        <v>1</v>
      </c>
      <c r="F23" s="12" t="n">
        <v>1</v>
      </c>
      <c r="G23" s="12" t="n">
        <v>0.82</v>
      </c>
      <c r="H23" s="13" t="n">
        <v>19.95223896</v>
      </c>
      <c r="I23" s="12" t="n">
        <v>1</v>
      </c>
      <c r="J23" s="4" t="n">
        <f aca="false">(I23*H23)^(1/3)</f>
        <v>2.71225517086333</v>
      </c>
      <c r="K23" s="4" t="n">
        <f aca="false">(J23*G23)/SUMPRODUCT($J$2:$J$27,$G$2:$G$27)*100</f>
        <v>2.21730808500894</v>
      </c>
      <c r="L23" s="12"/>
      <c r="M23" s="15" t="n">
        <f aca="false">IF(L23&gt;0, L23, G23*J23 / SUMPRODUCT(G$2:G$27 * J$2:J$27 * (L$2:L$27=0)) * (100 - SUM(L$2:L$27)))</f>
        <v>2.6468315279107</v>
      </c>
    </row>
    <row r="24" customFormat="false" ht="12.9" hidden="false" customHeight="true" outlineLevel="0" collapsed="false">
      <c r="A24" s="11" t="s">
        <v>60</v>
      </c>
      <c r="B24" s="12" t="s">
        <v>61</v>
      </c>
      <c r="C24" s="12" t="n">
        <v>0.26</v>
      </c>
      <c r="D24" s="12" t="n">
        <v>0.43</v>
      </c>
      <c r="E24" s="12" t="n">
        <v>1</v>
      </c>
      <c r="F24" s="12" t="n">
        <v>0.71</v>
      </c>
      <c r="G24" s="12" t="n">
        <v>0.6</v>
      </c>
      <c r="H24" s="13" t="n">
        <v>170.064169982</v>
      </c>
      <c r="I24" s="12" t="n">
        <v>0.138</v>
      </c>
      <c r="J24" s="4" t="n">
        <f aca="false">(I24*H24)^(1/3)</f>
        <v>2.86306123462833</v>
      </c>
      <c r="K24" s="4" t="n">
        <f aca="false">(J24*G24)/SUMPRODUCT($J$2:$J$27,$G$2:$G$27)*100</f>
        <v>1.71262992984157</v>
      </c>
      <c r="L24" s="12"/>
      <c r="M24" s="15" t="n">
        <f aca="false">IF(L24&gt;0, L24, G24*J24 / SUMPRODUCT(G$2:G$27 * J$2:J$27 * (L$2:L$27=0)) * (100 - SUM(L$2:L$27)))</f>
        <v>2.04439018853345</v>
      </c>
    </row>
    <row r="25" customFormat="false" ht="13.1" hidden="false" customHeight="true" outlineLevel="0" collapsed="false">
      <c r="A25" s="11" t="s">
        <v>62</v>
      </c>
      <c r="B25" s="12" t="s">
        <v>63</v>
      </c>
      <c r="C25" s="12" t="n">
        <v>0.24</v>
      </c>
      <c r="D25" s="12" t="n">
        <v>0.29</v>
      </c>
      <c r="E25" s="12" t="n">
        <v>1</v>
      </c>
      <c r="F25" s="12" t="n">
        <v>1</v>
      </c>
      <c r="G25" s="12" t="n">
        <v>0.63</v>
      </c>
      <c r="H25" s="13" t="n">
        <v>2.09952</v>
      </c>
      <c r="I25" s="12" t="n">
        <v>1</v>
      </c>
      <c r="J25" s="4" t="n">
        <f aca="false">(I25*H25)^(1/3)</f>
        <v>1.28048158961642</v>
      </c>
      <c r="K25" s="4" t="n">
        <f aca="false">(J25*G25)/SUMPRODUCT($J$2:$J$27,$G$2:$G$27)*100</f>
        <v>0.80425826101359</v>
      </c>
      <c r="L25" s="12"/>
      <c r="M25" s="15" t="n">
        <f aca="false">IF(L25&gt;0, L25, G25*J25 / SUMPRODUCT(G$2:G$27 * J$2:J$27 * (L$2:L$27=0)) * (100 - SUM(L$2:L$27)))</f>
        <v>0.960054282138614</v>
      </c>
    </row>
    <row r="26" customFormat="false" ht="13.1" hidden="false" customHeight="true" outlineLevel="0" collapsed="false">
      <c r="A26" s="11" t="s">
        <v>64</v>
      </c>
      <c r="B26" s="12" t="s">
        <v>65</v>
      </c>
      <c r="C26" s="12" t="n">
        <v>0.7</v>
      </c>
      <c r="D26" s="12" t="n">
        <v>0.71</v>
      </c>
      <c r="E26" s="12" t="n">
        <v>0.71</v>
      </c>
      <c r="F26" s="12" t="n">
        <v>0.43</v>
      </c>
      <c r="G26" s="12" t="n">
        <v>0.64</v>
      </c>
      <c r="H26" s="13" t="n">
        <v>43.0419826802</v>
      </c>
      <c r="I26" s="12" t="n">
        <v>0.2</v>
      </c>
      <c r="J26" s="4" t="n">
        <f aca="false">(I26*H26)^(1/3)</f>
        <v>2.04946617359689</v>
      </c>
      <c r="K26" s="4" t="n">
        <f aca="false">(J26*G26)/SUMPRODUCT($J$2:$J$27,$G$2:$G$27)*100</f>
        <v>1.30768267816176</v>
      </c>
      <c r="L26" s="12"/>
      <c r="M26" s="15" t="n">
        <f aca="false">IF(L26&gt;0, L26, G26*J26 / SUMPRODUCT(G$2:G$27 * J$2:J$27 * (L$2:L$27=0)) * (100 - SUM(L$2:L$27)))</f>
        <v>1.56099901698924</v>
      </c>
    </row>
    <row r="27" customFormat="false" ht="13.1" hidden="false" customHeight="true" outlineLevel="0" collapsed="false">
      <c r="A27" s="11" t="s">
        <v>66</v>
      </c>
      <c r="B27" s="12" t="s">
        <v>67</v>
      </c>
      <c r="C27" s="12" t="n">
        <v>0.94</v>
      </c>
      <c r="D27" s="12" t="n">
        <v>0.57</v>
      </c>
      <c r="E27" s="12" t="n">
        <v>0.29</v>
      </c>
      <c r="F27" s="12" t="n">
        <v>0.14</v>
      </c>
      <c r="G27" s="12" t="n">
        <v>0.48</v>
      </c>
      <c r="H27" s="13" t="n">
        <v>53.2558248236</v>
      </c>
      <c r="I27" s="12" t="n">
        <v>0.3</v>
      </c>
      <c r="J27" s="4" t="n">
        <f aca="false">(I27*H27)^(1/3)</f>
        <v>2.51862082544184</v>
      </c>
      <c r="K27" s="4" t="n">
        <f aca="false">(J27*G27)/SUMPRODUCT($J$2:$J$27,$G$2:$G$27)*100</f>
        <v>1.20527367152423</v>
      </c>
      <c r="L27" s="12"/>
      <c r="M27" s="15" t="n">
        <f aca="false">IF(L27&gt;0, L27, G27*J27 / SUMPRODUCT(G$2:G$27 * J$2:J$27 * (L$2:L$27=0)) * (100 - SUM(L$2:L$27)))</f>
        <v>1.43875196014457</v>
      </c>
    </row>
    <row r="28" customFormat="false" ht="13.1" hidden="false" customHeight="true" outlineLevel="0" collapsed="false">
      <c r="A28" s="16"/>
      <c r="B28" s="16"/>
      <c r="C28" s="16"/>
      <c r="M28" s="17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8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2026-02-24T14:12:08Z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