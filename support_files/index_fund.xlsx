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tegories" sheetId="1" state="visible" r:id="rId3"/>
    <sheet name="stock" sheetId="2" state="visible" r:id="rId4"/>
    <sheet name="bond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<sst xmlns="http://schemas.openxmlformats.org/spreadsheetml/2006/main" count="76" uniqueCount="72">
  <si>
    <t xml:space="preserve">category</t>
  </si>
  <si>
    <t xml:space="preserve">%</t>
  </si>
  <si>
    <t xml:space="preserve">stock</t>
  </si>
  <si>
    <t xml:space="preserve">bonds</t>
  </si>
  <si>
    <t xml:space="preserve">ticker</t>
  </si>
  <si>
    <t xml:space="preserve">name</t>
  </si>
  <si>
    <t xml:space="preserve">IR</t>
  </si>
  <si>
    <t xml:space="preserve">Рост прибыли</t>
  </si>
  <si>
    <t xml:space="preserve">Выплата дивидендов</t>
  </si>
  <si>
    <t xml:space="preserve">Рост дивидендов</t>
  </si>
  <si>
    <t xml:space="preserve">Рейтинг</t>
  </si>
  <si>
    <t xml:space="preserve">Капитализация, млрд. руб.</t>
  </si>
  <si>
    <t xml:space="preserve">Free-float</t>
  </si>
  <si>
    <t xml:space="preserve">Корень free-float</t>
  </si>
  <si>
    <t xml:space="preserve">%, Вес (free float x рейтинг)</t>
  </si>
  <si>
    <t xml:space="preserve">%, корректировка</t>
  </si>
  <si>
    <t xml:space="preserve">SBER</t>
  </si>
  <si>
    <t xml:space="preserve">Сбербанк (SBER)</t>
  </si>
  <si>
    <t xml:space="preserve">LKOH</t>
  </si>
  <si>
    <t xml:space="preserve">ЛУКОЙЛ (LKOH)</t>
  </si>
  <si>
    <t xml:space="preserve">NVTK</t>
  </si>
  <si>
    <t xml:space="preserve">НОВАТЭК (NVTK)</t>
  </si>
  <si>
    <t xml:space="preserve">MOEX</t>
  </si>
  <si>
    <t xml:space="preserve">Московская биржа (MOEX)</t>
  </si>
  <si>
    <t xml:space="preserve">T</t>
  </si>
  <si>
    <t xml:space="preserve">Т-Технологии (T)</t>
  </si>
  <si>
    <t xml:space="preserve">TATN</t>
  </si>
  <si>
    <t xml:space="preserve">Татнефть (TATN)</t>
  </si>
  <si>
    <t xml:space="preserve">ROSN</t>
  </si>
  <si>
    <t xml:space="preserve">Роснефть (ROSN)</t>
  </si>
  <si>
    <t xml:space="preserve">PHOR</t>
  </si>
  <si>
    <t xml:space="preserve">ФосАгро (PHOR)</t>
  </si>
  <si>
    <t xml:space="preserve">X5</t>
  </si>
  <si>
    <t xml:space="preserve">X5 (X5)</t>
  </si>
  <si>
    <t xml:space="preserve">IRAO</t>
  </si>
  <si>
    <t xml:space="preserve">ИнтерРАО (IRAO)</t>
  </si>
  <si>
    <t xml:space="preserve">CHMF</t>
  </si>
  <si>
    <t xml:space="preserve">Северсталь (CHMF)</t>
  </si>
  <si>
    <t xml:space="preserve">YDEX</t>
  </si>
  <si>
    <t xml:space="preserve">Яндекс (YDEX)</t>
  </si>
  <si>
    <t xml:space="preserve">HEAD</t>
  </si>
  <si>
    <t xml:space="preserve">HeadHunter (HEAD)</t>
  </si>
  <si>
    <t xml:space="preserve">SNGSP</t>
  </si>
  <si>
    <t xml:space="preserve">Сургутнефтегаз (SNGS)</t>
  </si>
  <si>
    <t xml:space="preserve">SIBN</t>
  </si>
  <si>
    <t xml:space="preserve">Газпромнефть (SIBN)</t>
  </si>
  <si>
    <t xml:space="preserve">NKNC</t>
  </si>
  <si>
    <t xml:space="preserve">НКНХ (NKNC)</t>
  </si>
  <si>
    <t xml:space="preserve">BSPB</t>
  </si>
  <si>
    <t xml:space="preserve">Банк Санкт-Петербург (BSPB)</t>
  </si>
  <si>
    <t xml:space="preserve">TRNFP</t>
  </si>
  <si>
    <t xml:space="preserve">Транснефть (TRNFP)</t>
  </si>
  <si>
    <t xml:space="preserve">NLMK</t>
  </si>
  <si>
    <t xml:space="preserve">НЛМК (NLMK)</t>
  </si>
  <si>
    <t xml:space="preserve">LSNGP</t>
  </si>
  <si>
    <t xml:space="preserve">Россети Ленэнерго (LSNGP)</t>
  </si>
  <si>
    <t xml:space="preserve">MDMG</t>
  </si>
  <si>
    <t xml:space="preserve">Мать и Дитя (MDMG)</t>
  </si>
  <si>
    <t xml:space="preserve">PMSB</t>
  </si>
  <si>
    <t xml:space="preserve">Пермэнергосбыт (PMSB)</t>
  </si>
  <si>
    <t xml:space="preserve">NMTP</t>
  </si>
  <si>
    <t xml:space="preserve">НМТП (NMTP)</t>
  </si>
  <si>
    <t xml:space="preserve">WTCMP</t>
  </si>
  <si>
    <t xml:space="preserve">ЦМТ (WTCM)</t>
  </si>
  <si>
    <t xml:space="preserve">AQUA</t>
  </si>
  <si>
    <t xml:space="preserve">Инарктика (AQUA)</t>
  </si>
  <si>
    <t xml:space="preserve">RENI</t>
  </si>
  <si>
    <t xml:space="preserve">Ренессанс Страхование (RENI)</t>
  </si>
  <si>
    <t xml:space="preserve">SBMM</t>
  </si>
  <si>
    <t xml:space="preserve">SBMM ETF</t>
  </si>
  <si>
    <t xml:space="preserve">LQDT</t>
  </si>
  <si>
    <t xml:space="preserve">LQDT ETF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</si>
</sst>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"/>
    <numFmt numFmtId="167" formatCode="0.0"/>
  </numFmts>
  <fonts count="7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7" activeCellId="0" sqref="D7"/>
    </sheetView>
  </sheetViews>
  <sheetFormatPr defaultColWidth="8.859375" defaultRowHeight="15.4" customHeight="true" zeroHeight="false" outlineLevelRow="0" outlineLevelCol="0"/>
  <cols>
    <col collapsed="false" customWidth="false" hidden="false" outlineLevel="0" max="1" min="1" style="1" width="8.86"/>
    <col collapsed="false" customWidth="true" hidden="false" outlineLevel="0" max="2" min="2" style="1" width="9.86"/>
    <col collapsed="false" customWidth="false" hidden="false" outlineLevel="0" max="16384" min="3" style="1" width="8.86"/>
  </cols>
  <sheetData>
    <row r="1" customFormat="false" ht="13.1" hidden="false" customHeight="true" outlineLevel="0" collapsed="false">
      <c r="A1" s="2" t="s">
        <v>0</v>
      </c>
      <c r="B1" s="2" t="s">
        <v>1</v>
      </c>
    </row>
    <row r="2" customFormat="false" ht="13.1" hidden="false" customHeight="true" outlineLevel="0" collapsed="false">
      <c r="A2" s="3" t="s">
        <v>2</v>
      </c>
      <c r="B2" s="4" t="n">
        <v>55</v>
      </c>
    </row>
    <row r="3" customFormat="false" ht="13.1" hidden="false" customHeight="true" outlineLevel="0" collapsed="false">
      <c r="A3" s="3" t="s">
        <v>3</v>
      </c>
      <c r="B3" s="4" t="n">
        <v>45</v>
      </c>
    </row>
    <row r="4" customFormat="false" ht="13.1" hidden="false" customHeight="true" outlineLevel="0" collapsed="false">
      <c r="A4" s="5"/>
      <c r="B4" s="6" t="n">
        <f aca="false" t="array" ref="B4:B4">SUBTOTAL(109,B2:B3)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L5" activeCellId="0" sqref="L5"/>
    </sheetView>
  </sheetViews>
  <sheetFormatPr defaultColWidth="8.859375" defaultRowHeight="15.4" customHeight="true" zeroHeight="false" outlineLevelRow="0" outlineLevelCol="0"/>
  <cols>
    <col collapsed="false" customWidth="true" hidden="false" outlineLevel="0" max="1" min="1" style="1" width="8.22"/>
    <col collapsed="false" customWidth="true" hidden="false" outlineLevel="0" max="2" min="2" style="1" width="12.34"/>
    <col collapsed="false" customWidth="true" hidden="false" outlineLevel="0" max="3" min="3" style="1" width="7.33"/>
    <col collapsed="false" customWidth="false" hidden="false" outlineLevel="0" max="16384" min="4" style="1" width="8.86"/>
  </cols>
  <sheetData>
    <row r="1" s="8" customFormat="true" ht="33" hidden="false" customHeight="false" outlineLevel="0" collapsed="false">
      <c r="A1" s="7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  <c r="H1" s="7" t="s">
        <v>11</v>
      </c>
      <c r="I1" s="7" t="s">
        <v>12</v>
      </c>
      <c r="J1" s="7" t="s">
        <v>13</v>
      </c>
      <c r="K1" s="7" t="s">
        <v>14</v>
      </c>
      <c r="L1" s="7" t="s">
        <v>15</v>
      </c>
      <c r="M1" s="7" t="s">
        <v>1</v>
      </c>
    </row>
    <row r="2" customFormat="false" ht="13.1" hidden="false" customHeight="true" outlineLevel="0" collapsed="false">
      <c r="A2" s="9" t="s">
        <v>16</v>
      </c>
      <c r="B2" s="10" t="s">
        <v>17</v>
      </c>
      <c r="C2" s="10" t="n">
        <v>0.95</v>
      </c>
      <c r="D2" s="10" t="n">
        <v>0.71</v>
      </c>
      <c r="E2" s="10" t="n">
        <v>0.86</v>
      </c>
      <c r="F2" s="10" t="n">
        <v>0.86</v>
      </c>
      <c r="G2" s="10" t="n">
        <v>0.84</v>
      </c>
      <c r="H2" s="10" t="n">
        <v>6204.52</v>
      </c>
      <c r="I2" s="10" t="n">
        <v>0.48</v>
      </c>
      <c r="J2" s="10" t="n">
        <v>14.39</v>
      </c>
      <c r="K2" s="10" t="n">
        <v>11.99</v>
      </c>
      <c r="L2" s="11" t="n">
        <v>11</v>
      </c>
      <c r="M2" s="12" t="n">
        <f aca="false">IF(L2&gt;0, L2, G2*J2 / SUMPRODUCT(G$2:G$27 * J$2:J$27 * (L$2:L$27=0)) * (100 - SUM(L$2:L$27)))</f>
        <v>11</v>
      </c>
    </row>
    <row r="3" customFormat="false" ht="12.9" hidden="false" customHeight="true" outlineLevel="0" collapsed="false">
      <c r="A3" s="9" t="s">
        <v>18</v>
      </c>
      <c r="B3" s="10" t="s">
        <v>19</v>
      </c>
      <c r="C3" s="10" t="n">
        <v>0.3</v>
      </c>
      <c r="D3" s="10" t="n">
        <v>0.71</v>
      </c>
      <c r="E3" s="10" t="n">
        <v>1</v>
      </c>
      <c r="F3" s="10" t="n">
        <v>0.71</v>
      </c>
      <c r="G3" s="10" t="n">
        <v>0.68</v>
      </c>
      <c r="H3" s="10" t="n">
        <v>4193.92</v>
      </c>
      <c r="I3" s="10" t="n">
        <v>0.55</v>
      </c>
      <c r="J3" s="10" t="n">
        <v>13.21</v>
      </c>
      <c r="K3" s="10" t="n">
        <v>8.91</v>
      </c>
      <c r="L3" s="11" t="n">
        <v>7</v>
      </c>
      <c r="M3" s="12" t="n">
        <f aca="false">IF(L3&gt;0, L3, G3*J3 / SUMPRODUCT(G$2:G$27 * J$2:J$27 * (L$2:L$27=0)) * (100 - SUM(L$2:L$27)))</f>
        <v>7</v>
      </c>
    </row>
    <row r="4" customFormat="false" ht="12.9" hidden="false" customHeight="true" outlineLevel="0" collapsed="false">
      <c r="A4" s="9" t="s">
        <v>20</v>
      </c>
      <c r="B4" s="10" t="s">
        <v>21</v>
      </c>
      <c r="C4" s="10" t="n">
        <v>0.45</v>
      </c>
      <c r="D4" s="10" t="n">
        <v>0.71</v>
      </c>
      <c r="E4" s="10" t="n">
        <v>1</v>
      </c>
      <c r="F4" s="10" t="n">
        <v>0.71</v>
      </c>
      <c r="G4" s="10" t="n">
        <v>0.72</v>
      </c>
      <c r="H4" s="10" t="n">
        <v>3334.47</v>
      </c>
      <c r="I4" s="10" t="n">
        <v>0.21</v>
      </c>
      <c r="J4" s="10" t="n">
        <v>8.88</v>
      </c>
      <c r="K4" s="10" t="n">
        <v>6.34</v>
      </c>
      <c r="L4" s="11" t="n">
        <v>4</v>
      </c>
      <c r="M4" s="12" t="n">
        <f aca="false">IF(L4&gt;0, L4, G4*J4 / SUMPRODUCT(G$2:G$27 * J$2:J$27 * (L$2:L$27=0)) * (100 - SUM(L$2:L$27)))</f>
        <v>4</v>
      </c>
    </row>
    <row r="5" customFormat="false" ht="12.9" hidden="false" customHeight="true" outlineLevel="0" collapsed="false">
      <c r="A5" s="9" t="s">
        <v>22</v>
      </c>
      <c r="B5" s="10" t="s">
        <v>23</v>
      </c>
      <c r="C5" s="10" t="n">
        <v>0.94</v>
      </c>
      <c r="D5" s="10" t="n">
        <v>1</v>
      </c>
      <c r="E5" s="10" t="n">
        <v>0.86</v>
      </c>
      <c r="F5" s="10" t="n">
        <v>0.71</v>
      </c>
      <c r="G5" s="10" t="n">
        <v>0.88</v>
      </c>
      <c r="H5" s="10" t="n">
        <v>375.33</v>
      </c>
      <c r="I5" s="10" t="n">
        <v>0.65</v>
      </c>
      <c r="J5" s="10" t="n">
        <v>6.25</v>
      </c>
      <c r="K5" s="10" t="n">
        <v>5.45</v>
      </c>
      <c r="L5" s="11" t="n">
        <v>9</v>
      </c>
      <c r="M5" s="12" t="n">
        <f aca="false">IF(L5&gt;0, L5, G5*J5 / SUMPRODUCT(G$2:G$27 * J$2:J$27 * (L$2:L$27=0)) * (100 - SUM(L$2:L$27)))</f>
        <v>9</v>
      </c>
    </row>
    <row r="6" customFormat="false" ht="12.9" hidden="false" customHeight="true" outlineLevel="0" collapsed="false">
      <c r="A6" s="9" t="s">
        <v>24</v>
      </c>
      <c r="B6" s="10" t="s">
        <v>25</v>
      </c>
      <c r="C6" s="10" t="n">
        <v>0.85</v>
      </c>
      <c r="D6" s="10" t="n">
        <v>0.86</v>
      </c>
      <c r="E6" s="10" t="n">
        <v>0.57</v>
      </c>
      <c r="F6" s="10" t="n">
        <v>0.43</v>
      </c>
      <c r="G6" s="10" t="n">
        <v>0.68</v>
      </c>
      <c r="H6" s="10" t="n">
        <v>821.4</v>
      </c>
      <c r="I6" s="10" t="n">
        <v>0.56</v>
      </c>
      <c r="J6" s="10" t="n">
        <v>7.72</v>
      </c>
      <c r="K6" s="10" t="n">
        <v>5.21</v>
      </c>
      <c r="L6" s="10"/>
      <c r="M6" s="12" t="n">
        <f aca="false">IF(L6&gt;0, L6, G6*J6 / SUMPRODUCT(G$2:G$27 * J$2:J$27 * (L$2:L$27=0)) * (100 - SUM(L$2:L$27)))</f>
        <v>6.2221475946604</v>
      </c>
    </row>
    <row r="7" customFormat="false" ht="12.9" hidden="false" customHeight="true" outlineLevel="0" collapsed="false">
      <c r="A7" s="9" t="s">
        <v>26</v>
      </c>
      <c r="B7" s="10" t="s">
        <v>27</v>
      </c>
      <c r="C7" s="10" t="n">
        <v>0.32</v>
      </c>
      <c r="D7" s="10" t="n">
        <v>0.71</v>
      </c>
      <c r="E7" s="10" t="n">
        <v>1</v>
      </c>
      <c r="F7" s="10" t="n">
        <v>0.71</v>
      </c>
      <c r="G7" s="10" t="n">
        <v>0.68</v>
      </c>
      <c r="H7" s="10" t="n">
        <v>1368</v>
      </c>
      <c r="I7" s="10" t="n">
        <v>0.32</v>
      </c>
      <c r="J7" s="10" t="n">
        <v>7.59</v>
      </c>
      <c r="K7" s="10" t="n">
        <v>5.12</v>
      </c>
      <c r="L7" s="11" t="n">
        <v>3</v>
      </c>
      <c r="M7" s="12" t="n">
        <f aca="false">IF(L7&gt;0, L7, G7*J7 / SUMPRODUCT(G$2:G$27 * J$2:J$27 * (L$2:L$27=0)) * (100 - SUM(L$2:L$27)))</f>
        <v>3</v>
      </c>
    </row>
    <row r="8" customFormat="false" ht="12.9" hidden="false" customHeight="true" outlineLevel="0" collapsed="false">
      <c r="A8" s="9" t="s">
        <v>28</v>
      </c>
      <c r="B8" s="10" t="s">
        <v>29</v>
      </c>
      <c r="C8" s="10" t="n">
        <v>0.45</v>
      </c>
      <c r="D8" s="10" t="n">
        <v>0.57</v>
      </c>
      <c r="E8" s="10" t="n">
        <v>1</v>
      </c>
      <c r="F8" s="10" t="n">
        <v>0.57</v>
      </c>
      <c r="G8" s="10" t="n">
        <v>0.65</v>
      </c>
      <c r="H8" s="10" t="n">
        <v>4358.5</v>
      </c>
      <c r="I8" s="10" t="n">
        <v>0.11</v>
      </c>
      <c r="J8" s="10" t="n">
        <v>7.83</v>
      </c>
      <c r="K8" s="10" t="n">
        <v>5.05</v>
      </c>
      <c r="L8" s="11" t="n">
        <v>3</v>
      </c>
      <c r="M8" s="12" t="n">
        <f aca="false">IF(L8&gt;0, L8, G8*J8 / SUMPRODUCT(G$2:G$27 * J$2:J$27 * (L$2:L$27=0)) * (100 - SUM(L$2:L$27)))</f>
        <v>3</v>
      </c>
    </row>
    <row r="9" customFormat="false" ht="12.9" hidden="false" customHeight="true" outlineLevel="0" collapsed="false">
      <c r="A9" s="9" t="s">
        <v>30</v>
      </c>
      <c r="B9" s="10" t="s">
        <v>31</v>
      </c>
      <c r="C9" s="10" t="n">
        <v>0.69</v>
      </c>
      <c r="D9" s="10" t="n">
        <v>0.57</v>
      </c>
      <c r="E9" s="10" t="n">
        <v>1</v>
      </c>
      <c r="F9" s="10" t="n">
        <v>0.71</v>
      </c>
      <c r="G9" s="10" t="n">
        <v>0.74</v>
      </c>
      <c r="H9" s="10" t="n">
        <v>938.1</v>
      </c>
      <c r="I9" s="10" t="n">
        <v>0.26</v>
      </c>
      <c r="J9" s="10" t="n">
        <v>6.25</v>
      </c>
      <c r="K9" s="10" t="n">
        <v>4.59</v>
      </c>
      <c r="L9" s="10"/>
      <c r="M9" s="12" t="n">
        <f aca="false">IF(L9&gt;0, L9, G9*J9 / SUMPRODUCT(G$2:G$27 * J$2:J$27 * (L$2:L$27=0)) * (100 - SUM(L$2:L$27)))</f>
        <v>5.48183340165048</v>
      </c>
    </row>
    <row r="10" customFormat="false" ht="12.9" hidden="false" customHeight="true" outlineLevel="0" collapsed="false">
      <c r="A10" s="9" t="s">
        <v>32</v>
      </c>
      <c r="B10" s="10" t="s">
        <v>33</v>
      </c>
      <c r="C10" s="10" t="n">
        <v>0.96</v>
      </c>
      <c r="D10" s="10" t="n">
        <v>0.86</v>
      </c>
      <c r="E10" s="10" t="n">
        <v>0.57</v>
      </c>
      <c r="F10" s="10" t="n">
        <v>0.57</v>
      </c>
      <c r="G10" s="10" t="n">
        <v>0.74</v>
      </c>
      <c r="H10" s="10" t="n">
        <v>766.79</v>
      </c>
      <c r="I10" s="10" t="n">
        <v>0.29</v>
      </c>
      <c r="J10" s="10" t="n">
        <v>6.06</v>
      </c>
      <c r="K10" s="10" t="n">
        <v>4.45</v>
      </c>
      <c r="L10" s="10"/>
      <c r="M10" s="12" t="n">
        <f aca="false">IF(L10&gt;0, L10, G10*J10 / SUMPRODUCT(G$2:G$27 * J$2:J$27 * (L$2:L$27=0)) * (100 - SUM(L$2:L$27)))</f>
        <v>5.3151856662403</v>
      </c>
    </row>
    <row r="11" customFormat="false" ht="12.9" hidden="false" customHeight="true" outlineLevel="0" collapsed="false">
      <c r="A11" s="9" t="s">
        <v>34</v>
      </c>
      <c r="B11" s="10" t="s">
        <v>35</v>
      </c>
      <c r="C11" s="10" t="n">
        <v>0.72</v>
      </c>
      <c r="D11" s="10" t="n">
        <v>0.86</v>
      </c>
      <c r="E11" s="10" t="n">
        <v>1</v>
      </c>
      <c r="F11" s="10" t="n">
        <v>0.86</v>
      </c>
      <c r="G11" s="10" t="n">
        <v>0.86</v>
      </c>
      <c r="H11" s="10" t="n">
        <v>314.4</v>
      </c>
      <c r="I11" s="10" t="n">
        <v>0.32</v>
      </c>
      <c r="J11" s="10" t="n">
        <v>4.65</v>
      </c>
      <c r="K11" s="10" t="n">
        <v>3.97</v>
      </c>
      <c r="L11" s="10"/>
      <c r="M11" s="12" t="n">
        <f aca="false">IF(L11&gt;0, L11, G11*J11 / SUMPRODUCT(G$2:G$27 * J$2:J$27 * (L$2:L$27=0)) * (100 - SUM(L$2:L$27)))</f>
        <v>4.73985984285411</v>
      </c>
    </row>
    <row r="12" customFormat="false" ht="12.9" hidden="false" customHeight="true" outlineLevel="0" collapsed="false">
      <c r="A12" s="9" t="s">
        <v>36</v>
      </c>
      <c r="B12" s="10" t="s">
        <v>37</v>
      </c>
      <c r="C12" s="10" t="n">
        <v>0.87</v>
      </c>
      <c r="D12" s="10" t="n">
        <v>0.29</v>
      </c>
      <c r="E12" s="10" t="n">
        <v>0.86</v>
      </c>
      <c r="F12" s="10" t="n">
        <v>0.57</v>
      </c>
      <c r="G12" s="10" t="n">
        <v>0.65</v>
      </c>
      <c r="H12" s="10" t="n">
        <v>797.17</v>
      </c>
      <c r="I12" s="10" t="n">
        <v>0.23</v>
      </c>
      <c r="J12" s="10" t="n">
        <v>5.68</v>
      </c>
      <c r="K12" s="10" t="n">
        <v>3.66</v>
      </c>
      <c r="L12" s="11" t="n">
        <v>1</v>
      </c>
      <c r="M12" s="12" t="n">
        <f aca="false">IF(L12&gt;0, L12, G12*J12 / SUMPRODUCT(G$2:G$27 * J$2:J$27 * (L$2:L$27=0)) * (100 - SUM(L$2:L$27)))</f>
        <v>1</v>
      </c>
    </row>
    <row r="13" customFormat="false" ht="12.9" hidden="false" customHeight="true" outlineLevel="0" collapsed="false">
      <c r="A13" s="9" t="s">
        <v>38</v>
      </c>
      <c r="B13" s="10" t="s">
        <v>39</v>
      </c>
      <c r="C13" s="10" t="n">
        <v>0.82</v>
      </c>
      <c r="D13" s="10" t="n">
        <v>0.71</v>
      </c>
      <c r="E13" s="10" t="n">
        <v>0.14</v>
      </c>
      <c r="F13" s="10" t="n">
        <v>0.14</v>
      </c>
      <c r="G13" s="10" t="n">
        <v>0.45</v>
      </c>
      <c r="H13" s="10" t="n">
        <v>1549.72</v>
      </c>
      <c r="I13" s="10" t="n">
        <v>0.3</v>
      </c>
      <c r="J13" s="10" t="n">
        <v>7.75</v>
      </c>
      <c r="K13" s="10" t="n">
        <v>3.46</v>
      </c>
      <c r="L13" s="10"/>
      <c r="M13" s="12" t="n">
        <f aca="false">IF(L13&gt;0, L13, G13*J13 / SUMPRODUCT(G$2:G$27 * J$2:J$27 * (L$2:L$27=0)) * (100 - SUM(L$2:L$27)))</f>
        <v>4.13359870016347</v>
      </c>
    </row>
    <row r="14" customFormat="false" ht="12.9" hidden="false" customHeight="true" outlineLevel="0" collapsed="false">
      <c r="A14" s="9" t="s">
        <v>40</v>
      </c>
      <c r="B14" s="10" t="s">
        <v>41</v>
      </c>
      <c r="C14" s="10" t="n">
        <v>0.75</v>
      </c>
      <c r="D14" s="10" t="n">
        <v>1</v>
      </c>
      <c r="E14" s="10" t="n">
        <v>0.71</v>
      </c>
      <c r="F14" s="10" t="n">
        <v>0.71</v>
      </c>
      <c r="G14" s="10" t="n">
        <v>0.79</v>
      </c>
      <c r="H14" s="10" t="n">
        <v>156.8</v>
      </c>
      <c r="I14" s="10" t="n">
        <v>0.42</v>
      </c>
      <c r="J14" s="10" t="n">
        <v>4.04</v>
      </c>
      <c r="K14" s="10" t="n">
        <v>3.16</v>
      </c>
      <c r="L14" s="10"/>
      <c r="M14" s="12" t="n">
        <f aca="false">IF(L14&gt;0, L14, G14*J14 / SUMPRODUCT(G$2:G$27 * J$2:J$27 * (L$2:L$27=0)) * (100 - SUM(L$2:L$27)))</f>
        <v>3.78287988858544</v>
      </c>
    </row>
    <row r="15" customFormat="false" ht="12.9" hidden="false" customHeight="true" outlineLevel="0" collapsed="false">
      <c r="A15" s="9" t="s">
        <v>42</v>
      </c>
      <c r="B15" s="10" t="s">
        <v>43</v>
      </c>
      <c r="C15" s="10" t="n">
        <v>0.09</v>
      </c>
      <c r="D15" s="10" t="n">
        <v>0.57</v>
      </c>
      <c r="E15" s="10" t="n">
        <v>1</v>
      </c>
      <c r="F15" s="10" t="n">
        <v>0.43</v>
      </c>
      <c r="G15" s="10" t="n">
        <v>0.52</v>
      </c>
      <c r="H15" s="10" t="n">
        <v>757.93</v>
      </c>
      <c r="I15" s="10" t="n">
        <v>0.25</v>
      </c>
      <c r="J15" s="10" t="n">
        <v>5.74</v>
      </c>
      <c r="K15" s="10" t="n">
        <v>2.96</v>
      </c>
      <c r="L15" s="11" t="n">
        <v>1</v>
      </c>
      <c r="M15" s="12" t="n">
        <f aca="false">IF(L15&gt;0, L15, G15*J15 / SUMPRODUCT(G$2:G$27 * J$2:J$27 * (L$2:L$27=0)) * (100 - SUM(L$2:L$27)))</f>
        <v>1</v>
      </c>
    </row>
    <row r="16" customFormat="false" ht="12.9" hidden="false" customHeight="true" outlineLevel="0" collapsed="false">
      <c r="A16" s="9" t="s">
        <v>44</v>
      </c>
      <c r="B16" s="10" t="s">
        <v>45</v>
      </c>
      <c r="C16" s="10" t="n">
        <v>0.22</v>
      </c>
      <c r="D16" s="10" t="n">
        <v>0.57</v>
      </c>
      <c r="E16" s="10" t="n">
        <v>1</v>
      </c>
      <c r="F16" s="10" t="n">
        <v>0.71</v>
      </c>
      <c r="G16" s="10" t="n">
        <v>0.62</v>
      </c>
      <c r="H16" s="10" t="n">
        <v>2362.12</v>
      </c>
      <c r="I16" s="10" t="n">
        <v>0.045</v>
      </c>
      <c r="J16" s="10" t="n">
        <v>4.74</v>
      </c>
      <c r="K16" s="10" t="n">
        <v>2.91</v>
      </c>
      <c r="L16" s="10" t="n">
        <v>3</v>
      </c>
      <c r="M16" s="12" t="n">
        <f aca="false">IF(L16&gt;0, L16, G16*J16 / SUMPRODUCT(G$2:G$27 * J$2:J$27 * (L$2:L$27=0)) * (100 - SUM(L$2:L$27)))</f>
        <v>3</v>
      </c>
    </row>
    <row r="17" customFormat="false" ht="12.9" hidden="false" customHeight="true" outlineLevel="0" collapsed="false">
      <c r="A17" s="9" t="s">
        <v>46</v>
      </c>
      <c r="B17" s="10" t="s">
        <v>47</v>
      </c>
      <c r="C17" s="10" t="n">
        <v>0.36</v>
      </c>
      <c r="D17" s="10" t="n">
        <v>0.43</v>
      </c>
      <c r="E17" s="10" t="n">
        <v>1</v>
      </c>
      <c r="F17" s="10" t="n">
        <v>0.43</v>
      </c>
      <c r="G17" s="10" t="n">
        <v>0.56</v>
      </c>
      <c r="H17" s="10" t="n">
        <v>134.22</v>
      </c>
      <c r="I17" s="10" t="n">
        <v>1</v>
      </c>
      <c r="J17" s="10" t="n">
        <v>5.12</v>
      </c>
      <c r="K17" s="10" t="n">
        <v>2.84</v>
      </c>
      <c r="L17" s="10"/>
      <c r="M17" s="12" t="n">
        <f aca="false">IF(L17&gt;0, L17, G17*J17 / SUMPRODUCT(G$2:G$27 * J$2:J$27 * (L$2:L$27=0)) * (100 - SUM(L$2:L$27)))</f>
        <v>3.39838113064049</v>
      </c>
    </row>
    <row r="18" customFormat="false" ht="12.9" hidden="false" customHeight="true" outlineLevel="0" collapsed="false">
      <c r="A18" s="9" t="s">
        <v>48</v>
      </c>
      <c r="B18" s="10" t="s">
        <v>49</v>
      </c>
      <c r="C18" s="10" t="n">
        <v>0.53</v>
      </c>
      <c r="D18" s="10" t="n">
        <v>0.86</v>
      </c>
      <c r="E18" s="10" t="n">
        <v>1</v>
      </c>
      <c r="F18" s="10" t="n">
        <v>0.71</v>
      </c>
      <c r="G18" s="10" t="n">
        <v>0.78</v>
      </c>
      <c r="H18" s="10" t="n">
        <v>150.86</v>
      </c>
      <c r="I18" s="10" t="n">
        <v>0.28</v>
      </c>
      <c r="J18" s="10" t="n">
        <v>3.48</v>
      </c>
      <c r="K18" s="10" t="n">
        <v>2.69</v>
      </c>
      <c r="L18" s="10"/>
      <c r="M18" s="12" t="n">
        <f aca="false">IF(L18&gt;0, L18, G18*J18 / SUMPRODUCT(G$2:G$27 * J$2:J$27 * (L$2:L$27=0)) * (100 - SUM(L$2:L$27)))</f>
        <v>3.21727320766271</v>
      </c>
    </row>
    <row r="19" customFormat="false" ht="12.9" hidden="false" customHeight="true" outlineLevel="0" collapsed="false">
      <c r="A19" s="9" t="s">
        <v>50</v>
      </c>
      <c r="B19" s="10" t="s">
        <v>51</v>
      </c>
      <c r="C19" s="10" t="n">
        <v>0.32</v>
      </c>
      <c r="D19" s="10" t="n">
        <v>0.57</v>
      </c>
      <c r="E19" s="10" t="n">
        <v>1</v>
      </c>
      <c r="F19" s="10" t="n">
        <v>0.71</v>
      </c>
      <c r="G19" s="10" t="n">
        <v>0.65</v>
      </c>
      <c r="H19" s="10" t="n">
        <v>193.3</v>
      </c>
      <c r="I19" s="10" t="n">
        <v>0.37</v>
      </c>
      <c r="J19" s="10" t="n">
        <v>4.15</v>
      </c>
      <c r="K19" s="10" t="n">
        <v>2.68</v>
      </c>
      <c r="L19" s="11" t="n">
        <v>5</v>
      </c>
      <c r="M19" s="12" t="n">
        <f aca="false">IF(L19&gt;0, L19, G19*J19 / SUMPRODUCT(G$2:G$27 * J$2:J$27 * (L$2:L$27=0)) * (100 - SUM(L$2:L$27)))</f>
        <v>5</v>
      </c>
    </row>
    <row r="20" customFormat="false" ht="12.9" hidden="false" customHeight="true" outlineLevel="0" collapsed="false">
      <c r="A20" s="9" t="s">
        <v>52</v>
      </c>
      <c r="B20" s="10" t="s">
        <v>53</v>
      </c>
      <c r="C20" s="10" t="n">
        <v>0.24</v>
      </c>
      <c r="D20" s="10" t="n">
        <v>0.57</v>
      </c>
      <c r="E20" s="10" t="n">
        <v>0.71</v>
      </c>
      <c r="F20" s="10" t="n">
        <v>0.57</v>
      </c>
      <c r="G20" s="10" t="n">
        <v>0.52</v>
      </c>
      <c r="H20" s="10" t="n">
        <v>627.01</v>
      </c>
      <c r="I20" s="10" t="n">
        <v>0.21</v>
      </c>
      <c r="J20" s="10" t="n">
        <v>5.09</v>
      </c>
      <c r="K20" s="10" t="n">
        <v>2.62</v>
      </c>
      <c r="L20" s="11" t="n">
        <v>1</v>
      </c>
      <c r="M20" s="12" t="n">
        <f aca="false">IF(L20&gt;0, L20, G20*J20 / SUMPRODUCT(G$2:G$27 * J$2:J$27 * (L$2:L$27=0)) * (100 - SUM(L$2:L$27)))</f>
        <v>1</v>
      </c>
    </row>
    <row r="21" customFormat="false" ht="12.9" hidden="false" customHeight="true" outlineLevel="0" collapsed="false">
      <c r="A21" s="9" t="s">
        <v>54</v>
      </c>
      <c r="B21" s="10" t="s">
        <v>55</v>
      </c>
      <c r="C21" s="10" t="n">
        <v>0.62</v>
      </c>
      <c r="D21" s="10" t="n">
        <v>1</v>
      </c>
      <c r="E21" s="10" t="n">
        <v>1</v>
      </c>
      <c r="F21" s="10" t="n">
        <v>0.71</v>
      </c>
      <c r="G21" s="10" t="n">
        <v>0.83</v>
      </c>
      <c r="H21" s="10" t="n">
        <v>25.21</v>
      </c>
      <c r="I21" s="10" t="n">
        <v>0.75</v>
      </c>
      <c r="J21" s="10" t="n">
        <v>2.66</v>
      </c>
      <c r="K21" s="10" t="n">
        <v>2.19</v>
      </c>
      <c r="L21" s="10"/>
      <c r="M21" s="12" t="n">
        <f aca="false">IF(L21&gt;0, L21, G21*J21 / SUMPRODUCT(G$2:G$27 * J$2:J$27 * (L$2:L$27=0)) * (100 - SUM(L$2:L$27)))</f>
        <v>2.61681984522463</v>
      </c>
    </row>
    <row r="22" customFormat="false" ht="12.9" hidden="false" customHeight="true" outlineLevel="0" collapsed="false">
      <c r="A22" s="9" t="s">
        <v>56</v>
      </c>
      <c r="B22" s="10" t="s">
        <v>57</v>
      </c>
      <c r="C22" s="10" t="n">
        <v>0.95</v>
      </c>
      <c r="D22" s="10" t="n">
        <v>0.71</v>
      </c>
      <c r="E22" s="10" t="n">
        <v>0.86</v>
      </c>
      <c r="F22" s="10" t="n">
        <v>0.43</v>
      </c>
      <c r="G22" s="10" t="n">
        <v>0.74</v>
      </c>
      <c r="H22" s="10" t="n">
        <v>92.26</v>
      </c>
      <c r="I22" s="10" t="n">
        <v>0.27</v>
      </c>
      <c r="J22" s="10" t="n">
        <v>2.92</v>
      </c>
      <c r="K22" s="10" t="n">
        <v>2.14</v>
      </c>
      <c r="L22" s="11" t="n">
        <v>4</v>
      </c>
      <c r="M22" s="12" t="n">
        <f aca="false">IF(L22&gt;0, L22, G22*J22 / SUMPRODUCT(G$2:G$27 * J$2:J$27 * (L$2:L$27=0)) * (100 - SUM(L$2:L$27)))</f>
        <v>4</v>
      </c>
    </row>
    <row r="23" customFormat="false" ht="12.9" hidden="false" customHeight="true" outlineLevel="0" collapsed="false">
      <c r="A23" s="9" t="s">
        <v>58</v>
      </c>
      <c r="B23" s="10" t="s">
        <v>59</v>
      </c>
      <c r="C23" s="10" t="n">
        <v>0.43</v>
      </c>
      <c r="D23" s="10" t="n">
        <v>0.86</v>
      </c>
      <c r="E23" s="10" t="n">
        <v>1</v>
      </c>
      <c r="F23" s="10" t="n">
        <v>1</v>
      </c>
      <c r="G23" s="10" t="n">
        <v>0.82</v>
      </c>
      <c r="H23" s="10" t="n">
        <v>11.8</v>
      </c>
      <c r="I23" s="10" t="n">
        <v>1</v>
      </c>
      <c r="J23" s="10" t="n">
        <v>2.28</v>
      </c>
      <c r="K23" s="10" t="n">
        <v>1.85</v>
      </c>
      <c r="L23" s="10"/>
      <c r="M23" s="12" t="n">
        <f aca="false">IF(L23&gt;0, L23, G23*J23 / SUMPRODUCT(G$2:G$27 * J$2:J$27 * (L$2:L$27=0)) * (100 - SUM(L$2:L$27)))</f>
        <v>2.21596448167043</v>
      </c>
    </row>
    <row r="24" customFormat="false" ht="12.9" hidden="false" customHeight="true" outlineLevel="0" collapsed="false">
      <c r="A24" s="9" t="s">
        <v>60</v>
      </c>
      <c r="B24" s="10" t="s">
        <v>61</v>
      </c>
      <c r="C24" s="10" t="n">
        <v>0.26</v>
      </c>
      <c r="D24" s="10" t="n">
        <v>0.43</v>
      </c>
      <c r="E24" s="10" t="n">
        <v>1</v>
      </c>
      <c r="F24" s="10" t="n">
        <v>0.71</v>
      </c>
      <c r="G24" s="10" t="n">
        <v>0.6</v>
      </c>
      <c r="H24" s="10" t="n">
        <v>158.99</v>
      </c>
      <c r="I24" s="10" t="n">
        <v>0.138</v>
      </c>
      <c r="J24" s="10" t="n">
        <v>2.8</v>
      </c>
      <c r="K24" s="10" t="n">
        <v>1.67</v>
      </c>
      <c r="L24" s="10"/>
      <c r="M24" s="12" t="n">
        <f aca="false">IF(L24&gt;0, L24, G24*J24 / SUMPRODUCT(G$2:G$27 * J$2:J$27 * (L$2:L$27=0)) * (100 - SUM(L$2:L$27)))</f>
        <v>1.99123894373466</v>
      </c>
    </row>
    <row r="25" customFormat="false" ht="13.1" hidden="false" customHeight="true" outlineLevel="0" collapsed="false">
      <c r="A25" s="9" t="s">
        <v>62</v>
      </c>
      <c r="B25" s="10" t="s">
        <v>63</v>
      </c>
      <c r="C25" s="10" t="n">
        <v>0.24</v>
      </c>
      <c r="D25" s="10" t="n">
        <v>0.29</v>
      </c>
      <c r="E25" s="10" t="n">
        <v>1</v>
      </c>
      <c r="F25" s="10" t="n">
        <v>1</v>
      </c>
      <c r="G25" s="10" t="n">
        <v>0.63</v>
      </c>
      <c r="H25" s="10" t="n">
        <v>14.43</v>
      </c>
      <c r="I25" s="10" t="n">
        <v>1</v>
      </c>
      <c r="J25" s="10" t="n">
        <v>2.43</v>
      </c>
      <c r="K25" s="10" t="n">
        <v>1.52</v>
      </c>
      <c r="L25" s="10"/>
      <c r="M25" s="12" t="n">
        <f aca="false">IF(L25&gt;0, L25, G25*J25 / SUMPRODUCT(G$2:G$27 * J$2:J$27 * (L$2:L$27=0)) * (100 - SUM(L$2:L$27)))</f>
        <v>1.81451648747821</v>
      </c>
    </row>
    <row r="26" customFormat="false" ht="13.1" hidden="false" customHeight="true" outlineLevel="0" collapsed="false">
      <c r="A26" s="9" t="s">
        <v>64</v>
      </c>
      <c r="B26" s="10" t="s">
        <v>65</v>
      </c>
      <c r="C26" s="10" t="n">
        <v>0.7</v>
      </c>
      <c r="D26" s="10" t="n">
        <v>0.71</v>
      </c>
      <c r="E26" s="10" t="n">
        <v>0.71</v>
      </c>
      <c r="F26" s="10" t="n">
        <v>0.43</v>
      </c>
      <c r="G26" s="10" t="n">
        <v>0.64</v>
      </c>
      <c r="H26" s="10" t="n">
        <v>47.85</v>
      </c>
      <c r="I26" s="10" t="n">
        <v>0.2</v>
      </c>
      <c r="J26" s="10" t="n">
        <v>2.12</v>
      </c>
      <c r="K26" s="10" t="n">
        <v>1.35</v>
      </c>
      <c r="L26" s="10"/>
      <c r="M26" s="12" t="n">
        <f aca="false">IF(L26&gt;0, L26, G26*J26 / SUMPRODUCT(G$2:G$27 * J$2:J$27 * (L$2:L$27=0)) * (100 - SUM(L$2:L$27)))</f>
        <v>1.60816249932094</v>
      </c>
    </row>
    <row r="27" customFormat="false" ht="13.1" hidden="false" customHeight="true" outlineLevel="0" collapsed="false">
      <c r="A27" s="9" t="s">
        <v>66</v>
      </c>
      <c r="B27" s="10" t="s">
        <v>67</v>
      </c>
      <c r="C27" s="10" t="n">
        <v>0.94</v>
      </c>
      <c r="D27" s="10" t="n">
        <v>0.57</v>
      </c>
      <c r="E27" s="10" t="n">
        <v>0.29</v>
      </c>
      <c r="F27" s="10" t="n">
        <v>0.14</v>
      </c>
      <c r="G27" s="10" t="n">
        <v>0.48</v>
      </c>
      <c r="H27" s="10" t="n">
        <v>56.33</v>
      </c>
      <c r="I27" s="10" t="n">
        <v>0.3</v>
      </c>
      <c r="J27" s="10" t="n">
        <v>2.57</v>
      </c>
      <c r="K27" s="10" t="n">
        <v>1.22</v>
      </c>
      <c r="L27" s="10"/>
      <c r="M27" s="12" t="n">
        <f aca="false">IF(L27&gt;0, L27, G27*J27 / SUMPRODUCT(G$2:G$27 * J$2:J$27 * (L$2:L$27=0)) * (100 - SUM(L$2:L$27)))</f>
        <v>1.46213831011374</v>
      </c>
    </row>
    <row r="28" customFormat="false" ht="13.1" hidden="false" customHeight="true" outlineLevel="0" collapsed="false">
      <c r="A28" s="13"/>
      <c r="B28" s="13"/>
      <c r="C28" s="13"/>
      <c r="M28" s="14" t="n">
        <f aca="false">SUM(M2:M27)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5" activeCellId="0" sqref="D5"/>
    </sheetView>
  </sheetViews>
  <sheetFormatPr defaultColWidth="8.859375" defaultRowHeight="15.4" customHeight="true" zeroHeight="false" outlineLevelRow="0" outlineLevelCol="0"/>
  <cols>
    <col collapsed="false" customWidth="false" hidden="false" outlineLevel="0" max="16384" min="1" style="1" width="8.86"/>
  </cols>
  <sheetData>
    <row r="1" customFormat="false" ht="13.1" hidden="false" customHeight="true" outlineLevel="0" collapsed="false">
      <c r="A1" s="2" t="s">
        <v>4</v>
      </c>
      <c r="B1" s="2" t="s">
        <v>5</v>
      </c>
      <c r="C1" s="2" t="s">
        <v>1</v>
      </c>
    </row>
    <row r="2" customFormat="false" ht="13.1" hidden="false" customHeight="true" outlineLevel="0" collapsed="false">
      <c r="A2" s="3" t="s">
        <v>68</v>
      </c>
      <c r="B2" s="3" t="s">
        <v>69</v>
      </c>
      <c r="C2" s="4" t="n">
        <v>15</v>
      </c>
    </row>
    <row r="3" customFormat="false" ht="13.1" hidden="false" customHeight="true" outlineLevel="0" collapsed="false">
      <c r="A3" s="3" t="s">
        <v>70</v>
      </c>
      <c r="B3" s="3" t="s">
        <v>71</v>
      </c>
      <c r="C3" s="4" t="n">
        <v>85</v>
      </c>
    </row>
    <row r="4" customFormat="false" ht="13.1" hidden="false" customHeight="true" outlineLevel="0" collapsed="false">
      <c r="A4" s="15"/>
      <c r="B4" s="5" t="n">
        <f aca="false" t="array" ref="B4:B4">SUBTOTAL(103,B2:B3)</f>
        <v>2</v>
      </c>
      <c r="C4" s="6" t="n">
        <f aca="false" t="array" ref="C4:C4">SUBTOTAL(109,C2:C3)</f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182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2026-02-12T14:09:00Z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